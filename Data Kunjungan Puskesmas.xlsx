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3FA62A-D7BE-4793-86E7-6C6B105C1F6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1-2" sheetId="1" r:id="rId1"/>
    <sheet name="3" sheetId="3" r:id="rId2"/>
    <sheet name="4" sheetId="5" r:id="rId3"/>
    <sheet name="Sheet2" sheetId="13" r:id="rId4"/>
    <sheet name="Sheet1" sheetId="12" r:id="rId5"/>
    <sheet name="Hasil" sheetId="6" r:id="rId6"/>
    <sheet name="Sheet4" sheetId="11" r:id="rId7"/>
  </sheets>
  <definedNames>
    <definedName name="_xlcn.WorksheetConnection_HasilAG1" hidden="1">Hasil!$A:$G</definedName>
  </definedNames>
  <calcPr calcId="191029"/>
  <pivotCaches>
    <pivotCache cacheId="0" r:id="rId8"/>
    <pivotCache cacheId="4" r:id="rId9"/>
    <pivotCache cacheId="19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Hasil!$A:$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5" l="1"/>
  <c r="C52" i="5"/>
  <c r="D51" i="5"/>
  <c r="D52" i="5" s="1"/>
  <c r="F51" i="5"/>
  <c r="F52" i="5"/>
  <c r="L27" i="5"/>
  <c r="F3" i="3"/>
  <c r="F4" i="3"/>
  <c r="F5" i="3"/>
  <c r="F52" i="3" s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2" i="3"/>
  <c r="E3" i="3"/>
  <c r="E4" i="3"/>
  <c r="E5" i="3"/>
  <c r="E6" i="3"/>
  <c r="E7" i="3"/>
  <c r="E52" i="3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2" i="3"/>
  <c r="L12" i="5"/>
  <c r="B52" i="5"/>
  <c r="C52" i="6"/>
  <c r="B52" i="6"/>
  <c r="F51" i="6"/>
  <c r="E51" i="6"/>
  <c r="D51" i="6"/>
  <c r="F50" i="6"/>
  <c r="E50" i="6"/>
  <c r="D50" i="6"/>
  <c r="F49" i="6"/>
  <c r="E49" i="6"/>
  <c r="D49" i="6"/>
  <c r="F48" i="6"/>
  <c r="E48" i="6"/>
  <c r="D48" i="6"/>
  <c r="F47" i="6"/>
  <c r="E47" i="6"/>
  <c r="D47" i="6"/>
  <c r="F46" i="6"/>
  <c r="E46" i="6"/>
  <c r="D46" i="6"/>
  <c r="F45" i="6"/>
  <c r="E45" i="6"/>
  <c r="D45" i="6"/>
  <c r="F44" i="6"/>
  <c r="E44" i="6"/>
  <c r="D44" i="6"/>
  <c r="F43" i="6"/>
  <c r="E43" i="6"/>
  <c r="D43" i="6"/>
  <c r="F42" i="6"/>
  <c r="E42" i="6"/>
  <c r="D42" i="6"/>
  <c r="F41" i="6"/>
  <c r="E41" i="6"/>
  <c r="D41" i="6"/>
  <c r="F40" i="6"/>
  <c r="E40" i="6"/>
  <c r="D40" i="6"/>
  <c r="F39" i="6"/>
  <c r="E39" i="6"/>
  <c r="D39" i="6"/>
  <c r="F38" i="6"/>
  <c r="E38" i="6"/>
  <c r="D38" i="6"/>
  <c r="F37" i="6"/>
  <c r="E37" i="6"/>
  <c r="D37" i="6"/>
  <c r="F36" i="6"/>
  <c r="E36" i="6"/>
  <c r="D36" i="6"/>
  <c r="F35" i="6"/>
  <c r="E35" i="6"/>
  <c r="D35" i="6"/>
  <c r="F34" i="6"/>
  <c r="E34" i="6"/>
  <c r="D34" i="6"/>
  <c r="F33" i="6"/>
  <c r="E33" i="6"/>
  <c r="D33" i="6"/>
  <c r="F32" i="6"/>
  <c r="E32" i="6"/>
  <c r="D32" i="6"/>
  <c r="F31" i="6"/>
  <c r="E31" i="6"/>
  <c r="D31" i="6"/>
  <c r="F30" i="6"/>
  <c r="E30" i="6"/>
  <c r="D30" i="6"/>
  <c r="F29" i="6"/>
  <c r="E29" i="6"/>
  <c r="D29" i="6"/>
  <c r="F28" i="6"/>
  <c r="E28" i="6"/>
  <c r="D28" i="6"/>
  <c r="F27" i="6"/>
  <c r="E27" i="6"/>
  <c r="D27" i="6"/>
  <c r="F26" i="6"/>
  <c r="E26" i="6"/>
  <c r="D26" i="6"/>
  <c r="F25" i="6"/>
  <c r="E25" i="6"/>
  <c r="D25" i="6"/>
  <c r="F24" i="6"/>
  <c r="E24" i="6"/>
  <c r="D24" i="6"/>
  <c r="F23" i="6"/>
  <c r="E23" i="6"/>
  <c r="D23" i="6"/>
  <c r="F22" i="6"/>
  <c r="E22" i="6"/>
  <c r="D22" i="6"/>
  <c r="F21" i="6"/>
  <c r="E21" i="6"/>
  <c r="D21" i="6"/>
  <c r="F20" i="6"/>
  <c r="E20" i="6"/>
  <c r="D20" i="6"/>
  <c r="F19" i="6"/>
  <c r="E19" i="6"/>
  <c r="D19" i="6"/>
  <c r="F18" i="6"/>
  <c r="E18" i="6"/>
  <c r="D18" i="6"/>
  <c r="F17" i="6"/>
  <c r="E17" i="6"/>
  <c r="D17" i="6"/>
  <c r="F16" i="6"/>
  <c r="E16" i="6"/>
  <c r="D16" i="6"/>
  <c r="F15" i="6"/>
  <c r="E15" i="6"/>
  <c r="D15" i="6"/>
  <c r="F14" i="6"/>
  <c r="E14" i="6"/>
  <c r="D14" i="6"/>
  <c r="F13" i="6"/>
  <c r="E13" i="6"/>
  <c r="D13" i="6"/>
  <c r="F12" i="6"/>
  <c r="E12" i="6"/>
  <c r="D12" i="6"/>
  <c r="F11" i="6"/>
  <c r="E11" i="6"/>
  <c r="D11" i="6"/>
  <c r="F10" i="6"/>
  <c r="E10" i="6"/>
  <c r="D10" i="6"/>
  <c r="F9" i="6"/>
  <c r="E9" i="6"/>
  <c r="D9" i="6"/>
  <c r="F8" i="6"/>
  <c r="E8" i="6"/>
  <c r="D8" i="6"/>
  <c r="F7" i="6"/>
  <c r="E7" i="6"/>
  <c r="D7" i="6"/>
  <c r="F6" i="6"/>
  <c r="E6" i="6"/>
  <c r="D6" i="6"/>
  <c r="F5" i="6"/>
  <c r="E5" i="6"/>
  <c r="D5" i="6"/>
  <c r="F4" i="6"/>
  <c r="E4" i="6"/>
  <c r="D4" i="6"/>
  <c r="F3" i="6"/>
  <c r="E3" i="6"/>
  <c r="D3" i="6"/>
  <c r="G2" i="6" a="1"/>
  <c r="G2" i="6" s="1"/>
  <c r="F2" i="6"/>
  <c r="F52" i="6" s="1"/>
  <c r="E2" i="6"/>
  <c r="E52" i="6" s="1"/>
  <c r="D2" i="6"/>
  <c r="D52" i="6" s="1"/>
  <c r="D52" i="3" l="1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  <c r="F2" i="5"/>
  <c r="E2" i="5"/>
  <c r="D2" i="5"/>
  <c r="B52" i="3"/>
  <c r="C52" i="3"/>
  <c r="C52" i="1"/>
  <c r="B52" i="1"/>
  <c r="E52" i="5" l="1"/>
  <c r="L26" i="5" l="1"/>
  <c r="N26" i="5" s="1"/>
  <c r="L29" i="5" s="1"/>
  <c r="N29" i="5" s="1"/>
  <c r="L32" i="5" s="1"/>
  <c r="L11" i="5"/>
  <c r="N11" i="5"/>
  <c r="L14" i="5" s="1"/>
  <c r="N14" i="5" l="1"/>
  <c r="L20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CE46A-5189-4DC5-916B-1DE17581258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93881BE-1AF2-449F-A00A-AE36B085E1BC}" name="WorksheetConnection_Hasil!$A:$G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HasilAG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<sst xmlns="http://schemas.openxmlformats.org/spreadsheetml/2006/main" count="72" uniqueCount="31">
  <si>
    <t>bulan-tahun</t>
  </si>
  <si>
    <t>periode (X)</t>
  </si>
  <si>
    <t>kunjungan Puskesmas (Y)</t>
  </si>
  <si>
    <t>X*Y</t>
  </si>
  <si>
    <t>X^2</t>
  </si>
  <si>
    <t>Y^2</t>
  </si>
  <si>
    <t>β =</t>
  </si>
  <si>
    <t>n(Σxy) - (Σx)(Σy)</t>
  </si>
  <si>
    <t>n(Σx²) - (Σx)²</t>
  </si>
  <si>
    <t>α =</t>
  </si>
  <si>
    <t>(Σy) - β(Σx)</t>
  </si>
  <si>
    <t>n</t>
  </si>
  <si>
    <t>y = α + βx</t>
  </si>
  <si>
    <t>=</t>
  </si>
  <si>
    <t>jumlah kunjungan puskesmas pada periode ke-50 sebanyak</t>
  </si>
  <si>
    <t>Rumus Regresi Linear:</t>
  </si>
  <si>
    <t>Jumlah</t>
  </si>
  <si>
    <t>???</t>
  </si>
  <si>
    <t>pasien</t>
  </si>
  <si>
    <t>y =</t>
  </si>
  <si>
    <t>Tahun</t>
  </si>
  <si>
    <t xml:space="preserve">Jumlah </t>
  </si>
  <si>
    <t>Row Labels</t>
  </si>
  <si>
    <t>Sum of kunjungan Puskesmas (Y)</t>
  </si>
  <si>
    <t>Grand Total</t>
  </si>
  <si>
    <t>Jumlah kunjungan puskesmas /tahun nya</t>
  </si>
  <si>
    <t>79,85+0,006(50)</t>
  </si>
  <si>
    <t>(49*98060)-(1225*3920)</t>
  </si>
  <si>
    <t>(49*40425)-(1225^2)</t>
  </si>
  <si>
    <t>(3920)-(0,006*(1225))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</si>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</sst>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17" fontId="0" fillId="0" borderId="1" xfId="0" applyNumberFormat="1" applyBorder="1"/>
    <xf numFmtId="0" fontId="0" fillId="4" borderId="1" xfId="0" applyFill="1" applyBorder="1"/>
    <xf numFmtId="17" fontId="0" fillId="2" borderId="1" xfId="0" applyNumberFormat="1" applyFill="1" applyBorder="1"/>
    <xf numFmtId="0" fontId="0" fillId="2" borderId="1" xfId="0" applyFill="1" applyBorder="1"/>
    <xf numFmtId="1" fontId="1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horizontal="center" vertical="top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2" borderId="0" xfId="0" applyFill="1" applyAlignment="1">
      <alignment horizontal="left"/>
    </xf>
    <xf numFmtId="0" fontId="0" fillId="2" borderId="0" xfId="0" applyFill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8" borderId="1" xfId="0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ill>
        <patternFill patternType="solid">
          <bgColor theme="6" tint="0.59999389629810485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Kunjungan Puskesmas.xlsx]Sheet4!PivotTable14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239</c:v>
                </c:pt>
                <c:pt idx="1">
                  <c:v>950</c:v>
                </c:pt>
                <c:pt idx="2">
                  <c:v>969</c:v>
                </c:pt>
                <c:pt idx="3">
                  <c:v>946</c:v>
                </c:pt>
                <c:pt idx="4">
                  <c:v>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0-487D-8408-5288B9D3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411312"/>
        <c:axId val="2007405072"/>
      </c:barChart>
      <c:catAx>
        <c:axId val="200741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405072"/>
        <c:crosses val="autoZero"/>
        <c:auto val="1"/>
        <c:lblAlgn val="ctr"/>
        <c:lblOffset val="100"/>
        <c:noMultiLvlLbl val="0"/>
      </c:catAx>
      <c:valAx>
        <c:axId val="200740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41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259555</xdr:colOff>
      <xdr:row>0</xdr:row>
      <xdr:rowOff>80962</xdr:rowOff>
    </xdr:from>
    <xdr:to>
      <xdr:col>9</xdr:col>
      <xdr:colOff>76200</xdr:colOff>
      <xdr:row>13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0B1F4-CAB3-4153-91CB-4B4341BDF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stimasi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875728587962" createdVersion="8" refreshedVersion="8" minRefreshableVersion="3" recordCount="50" xr:uid="{14869D91-7E33-4F75-8EA5-B1A81F7A8B85}">
  <cacheSource type="worksheet">
    <worksheetSource ref="A1:G51" sheet="Sheet1" r:id="rId2"/>
  </cacheSource>
  <cacheFields count="7">
    <cacheField name="bulan-tahun" numFmtId="17">
      <sharedItems containsSemiMixedTypes="0" containsNonDate="0" containsDate="1" containsString="0" minDate="2016-10-01T00:00:00" maxDate="2020-11-02T00:00:00"/>
    </cacheField>
    <cacheField name="periode (X)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kunjungan Puskesmas (Y)" numFmtId="0">
      <sharedItems containsSemiMixedTypes="0" containsString="0" containsNumber="1" containsInteger="1" minValue="69" maxValue="90" count="22">
        <n v="77"/>
        <n v="76"/>
        <n v="86"/>
        <n v="83"/>
        <n v="82"/>
        <n v="85"/>
        <n v="89"/>
        <n v="69"/>
        <n v="70"/>
        <n v="88"/>
        <n v="71"/>
        <n v="73"/>
        <n v="72"/>
        <n v="87"/>
        <n v="90"/>
        <n v="79"/>
        <n v="75"/>
        <n v="78"/>
        <n v="81"/>
        <n v="80"/>
        <n v="74"/>
        <n v="84"/>
      </sharedItems>
    </cacheField>
    <cacheField name="X*Y" numFmtId="0">
      <sharedItems containsSemiMixedTypes="0" containsString="0" containsNumber="1" containsInteger="1" minValue="77" maxValue="4000"/>
    </cacheField>
    <cacheField name="X^2" numFmtId="0">
      <sharedItems containsSemiMixedTypes="0" containsString="0" containsNumber="1" containsInteger="1" minValue="1" maxValue="2500"/>
    </cacheField>
    <cacheField name="Y^2" numFmtId="0">
      <sharedItems containsSemiMixedTypes="0" containsString="0" containsNumber="1" containsInteger="1" minValue="4761" maxValue="8100"/>
    </cacheField>
    <cacheField name="Tahun" numFmtId="0">
      <sharedItems containsSemiMixedTypes="0" containsString="0" containsNumber="1" containsInteger="1" minValue="2016" maxValue="2020" count="5">
        <n v="2016"/>
        <n v="2017"/>
        <n v="2018"/>
        <n v="2019"/>
        <n v="20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452649305553" createdVersion="8" refreshedVersion="8" minRefreshableVersion="3" recordCount="52" xr:uid="{1EAF0654-826B-4D3F-8B5E-51B4A1634F5F}">
  <cacheSource type="worksheet">
    <worksheetSource ref="A1:G1048576" sheet="Hasil"/>
  </cacheSource>
  <cacheFields count="7">
    <cacheField name="bulan-tahun" numFmtId="0">
      <sharedItems containsDate="1" containsBlank="1" containsMixedTypes="1" minDate="2016-10-01T00:00:00" maxDate="2020-11-02T00:00:00" count="52"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s v="Jumlah "/>
        <m/>
      </sharedItems>
    </cacheField>
    <cacheField name="periode (X)" numFmtId="0">
      <sharedItems containsString="0" containsBlank="1" containsNumber="1" containsInteger="1" minValue="1" maxValue="1275"/>
    </cacheField>
    <cacheField name="kunjungan Puskesmas (Y)" numFmtId="0">
      <sharedItems containsString="0" containsBlank="1" containsNumber="1" containsInteger="1" minValue="69" maxValue="4000"/>
    </cacheField>
    <cacheField name="X*Y" numFmtId="0">
      <sharedItems containsString="0" containsBlank="1" containsNumber="1" containsInteger="1" minValue="77" maxValue="102060"/>
    </cacheField>
    <cacheField name="X^2" numFmtId="0">
      <sharedItems containsString="0" containsBlank="1" containsNumber="1" containsInteger="1" minValue="1" maxValue="42925"/>
    </cacheField>
    <cacheField name="Y^2" numFmtId="0">
      <sharedItems containsString="0" containsBlank="1" containsNumber="1" containsInteger="1" minValue="4761" maxValue="321464"/>
    </cacheField>
    <cacheField name="Tahun" numFmtId="0">
      <sharedItems containsString="0" containsBlank="1" containsNumber="1" containsInteger="1" minValue="2016" maxValue="20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776.453562731484" backgroundQuery="1" createdVersion="8" refreshedVersion="8" minRefreshableVersion="3" recordCount="0" supportSubquery="1" supportAdvancedDrill="1" xr:uid="{52BD37F6-B997-4E36-8156-57E18E6575FB}">
  <cacheSource type="external" connectionId="1"/>
  <cacheFields count="2">
    <cacheField name="[Measures].[Sum of kunjungan Puskesmas (Y)]" caption="Sum of kunjungan Puskesmas (Y)" numFmtId="0" hierarchy="9" level="32767"/>
    <cacheField name="[Range].[Tahun].[Tahun]" caption="Tahun" numFmtId="0" hierarchy="6" level="1">
      <sharedItems containsSemiMixedTypes="0" containsString="0" containsNumber="1" containsInteger="1" minValue="2016" maxValue="2020" count="5"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Range].[Tahun].&amp;[2016]"/>
            <x15:cachedUniqueName index="1" name="[Range].[Tahun].&amp;[2017]"/>
            <x15:cachedUniqueName index="2" name="[Range].[Tahun].&amp;[2018]"/>
            <x15:cachedUniqueName index="3" name="[Range].[Tahun].&amp;[2019]"/>
            <x15:cachedUniqueName index="4" name="[Range].[Tahun].&amp;[2020]"/>
          </x15:cachedUniqueNames>
        </ext>
      </extLst>
    </cacheField>
  </cacheFields>
  <cacheHierarchies count="10">
    <cacheHierarchy uniqueName="[Range].[bulan-tahun]" caption="bulan-tahun" attribute="1" defaultMemberUniqueName="[Range].[bulan-tahun].[All]" allUniqueName="[Range].[bulan-tahun].[All]" dimensionUniqueName="[Range]" displayFolder="" count="2" memberValueDatatype="130" unbalanced="0"/>
    <cacheHierarchy uniqueName="[Range].[periode (X)]" caption="periode (X)" attribute="1" defaultMemberUniqueName="[Range].[periode (X)].[All]" allUniqueName="[Range].[periode (X)].[All]" dimensionUniqueName="[Range]" displayFolder="" count="0" memberValueDatatype="20" unbalanced="0"/>
    <cacheHierarchy uniqueName="[Range].[kunjungan Puskesmas (Y)]" caption="kunjungan Puskesmas (Y)" attribute="1" defaultMemberUniqueName="[Range].[kunjungan Puskesmas (Y)].[All]" allUniqueName="[Range].[kunjungan Puskesmas (Y)].[All]" dimensionUniqueName="[Range]" displayFolder="" count="0" memberValueDatatype="20" unbalanced="0"/>
    <cacheHierarchy uniqueName="[Range].[X*Y]" caption="X*Y" attribute="1" defaultMemberUniqueName="[Range].[X*Y].[All]" allUniqueName="[Range].[X*Y].[All]" dimensionUniqueName="[Range]" displayFolder="" count="0" memberValueDatatype="20" unbalanced="0"/>
    <cacheHierarchy uniqueName="[Range].[X^2]" caption="X^2" attribute="1" defaultMemberUniqueName="[Range].[X^2].[All]" allUniqueName="[Range].[X^2].[All]" dimensionUniqueName="[Range]" displayFolder="" count="0" memberValueDatatype="20" unbalanced="0"/>
    <cacheHierarchy uniqueName="[Range].[Y^2]" caption="Y^2" attribute="1" defaultMemberUniqueName="[Range].[Y^2].[All]" allUniqueName="[Range].[Y^2].[All]" dimensionUniqueName="[Range]" displayFolder="" count="0" memberValueDatatype="20" unbalanced="0"/>
    <cacheHierarchy uniqueName="[Range].[Tahun]" caption="Tahun" attribute="1" defaultMemberUniqueName="[Range].[Tahun].[All]" allUniqueName="[Range].[Tahun].[All]" dimensionUniqueName="[Range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kunjungan Puskesmas (Y)]" caption="Sum of kunjungan Puskesmas (Y)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16-10-01T00:00:00"/>
    <x v="0"/>
    <x v="0"/>
    <n v="77"/>
    <n v="1"/>
    <n v="5929"/>
    <x v="0"/>
  </r>
  <r>
    <d v="2016-11-01T00:00:00"/>
    <x v="1"/>
    <x v="1"/>
    <n v="152"/>
    <n v="4"/>
    <n v="5776"/>
    <x v="0"/>
  </r>
  <r>
    <d v="2016-12-01T00:00:00"/>
    <x v="2"/>
    <x v="2"/>
    <n v="258"/>
    <n v="9"/>
    <n v="7396"/>
    <x v="0"/>
  </r>
  <r>
    <d v="2017-01-01T00:00:00"/>
    <x v="3"/>
    <x v="3"/>
    <n v="332"/>
    <n v="16"/>
    <n v="6889"/>
    <x v="1"/>
  </r>
  <r>
    <d v="2017-02-01T00:00:00"/>
    <x v="4"/>
    <x v="4"/>
    <n v="410"/>
    <n v="25"/>
    <n v="6724"/>
    <x v="1"/>
  </r>
  <r>
    <d v="2017-03-01T00:00:00"/>
    <x v="5"/>
    <x v="5"/>
    <n v="510"/>
    <n v="36"/>
    <n v="7225"/>
    <x v="1"/>
  </r>
  <r>
    <d v="2017-04-01T00:00:00"/>
    <x v="6"/>
    <x v="5"/>
    <n v="595"/>
    <n v="49"/>
    <n v="7225"/>
    <x v="1"/>
  </r>
  <r>
    <d v="2017-05-01T00:00:00"/>
    <x v="7"/>
    <x v="6"/>
    <n v="712"/>
    <n v="64"/>
    <n v="7921"/>
    <x v="1"/>
  </r>
  <r>
    <d v="2017-06-01T00:00:00"/>
    <x v="8"/>
    <x v="7"/>
    <n v="621"/>
    <n v="81"/>
    <n v="4761"/>
    <x v="1"/>
  </r>
  <r>
    <d v="2017-07-01T00:00:00"/>
    <x v="9"/>
    <x v="8"/>
    <n v="700"/>
    <n v="100"/>
    <n v="4900"/>
    <x v="1"/>
  </r>
  <r>
    <d v="2017-08-01T00:00:00"/>
    <x v="10"/>
    <x v="9"/>
    <n v="968"/>
    <n v="121"/>
    <n v="7744"/>
    <x v="1"/>
  </r>
  <r>
    <d v="2017-09-01T00:00:00"/>
    <x v="11"/>
    <x v="3"/>
    <n v="996"/>
    <n v="144"/>
    <n v="6889"/>
    <x v="1"/>
  </r>
  <r>
    <d v="2017-10-01T00:00:00"/>
    <x v="12"/>
    <x v="10"/>
    <n v="923"/>
    <n v="169"/>
    <n v="5041"/>
    <x v="1"/>
  </r>
  <r>
    <d v="2017-11-01T00:00:00"/>
    <x v="13"/>
    <x v="11"/>
    <n v="1022"/>
    <n v="196"/>
    <n v="5329"/>
    <x v="1"/>
  </r>
  <r>
    <d v="2017-12-01T00:00:00"/>
    <x v="14"/>
    <x v="12"/>
    <n v="1080"/>
    <n v="225"/>
    <n v="5184"/>
    <x v="1"/>
  </r>
  <r>
    <d v="2018-01-01T00:00:00"/>
    <x v="15"/>
    <x v="13"/>
    <n v="1392"/>
    <n v="256"/>
    <n v="7569"/>
    <x v="2"/>
  </r>
  <r>
    <d v="2018-02-01T00:00:00"/>
    <x v="16"/>
    <x v="14"/>
    <n v="1530"/>
    <n v="289"/>
    <n v="8100"/>
    <x v="2"/>
  </r>
  <r>
    <d v="2018-03-01T00:00:00"/>
    <x v="17"/>
    <x v="1"/>
    <n v="1368"/>
    <n v="324"/>
    <n v="5776"/>
    <x v="2"/>
  </r>
  <r>
    <d v="2018-04-01T00:00:00"/>
    <x v="18"/>
    <x v="0"/>
    <n v="1463"/>
    <n v="361"/>
    <n v="5929"/>
    <x v="2"/>
  </r>
  <r>
    <d v="2018-05-01T00:00:00"/>
    <x v="19"/>
    <x v="4"/>
    <n v="1640"/>
    <n v="400"/>
    <n v="6724"/>
    <x v="2"/>
  </r>
  <r>
    <d v="2018-06-01T00:00:00"/>
    <x v="20"/>
    <x v="3"/>
    <n v="1743"/>
    <n v="441"/>
    <n v="6889"/>
    <x v="2"/>
  </r>
  <r>
    <d v="2018-07-01T00:00:00"/>
    <x v="21"/>
    <x v="15"/>
    <n v="1738"/>
    <n v="484"/>
    <n v="6241"/>
    <x v="2"/>
  </r>
  <r>
    <d v="2018-08-01T00:00:00"/>
    <x v="22"/>
    <x v="16"/>
    <n v="1725"/>
    <n v="529"/>
    <n v="5625"/>
    <x v="2"/>
  </r>
  <r>
    <d v="2018-09-01T00:00:00"/>
    <x v="23"/>
    <x v="3"/>
    <n v="1992"/>
    <n v="576"/>
    <n v="6889"/>
    <x v="2"/>
  </r>
  <r>
    <d v="2018-10-01T00:00:00"/>
    <x v="24"/>
    <x v="15"/>
    <n v="1975"/>
    <n v="625"/>
    <n v="6241"/>
    <x v="2"/>
  </r>
  <r>
    <d v="2018-11-01T00:00:00"/>
    <x v="25"/>
    <x v="16"/>
    <n v="1950"/>
    <n v="676"/>
    <n v="5625"/>
    <x v="2"/>
  </r>
  <r>
    <d v="2018-12-01T00:00:00"/>
    <x v="26"/>
    <x v="3"/>
    <n v="2241"/>
    <n v="729"/>
    <n v="6889"/>
    <x v="2"/>
  </r>
  <r>
    <d v="2019-01-01T00:00:00"/>
    <x v="27"/>
    <x v="15"/>
    <n v="2212"/>
    <n v="784"/>
    <n v="6241"/>
    <x v="3"/>
  </r>
  <r>
    <d v="2019-02-01T00:00:00"/>
    <x v="28"/>
    <x v="2"/>
    <n v="2494"/>
    <n v="841"/>
    <n v="7396"/>
    <x v="3"/>
  </r>
  <r>
    <d v="2019-03-01T00:00:00"/>
    <x v="29"/>
    <x v="17"/>
    <n v="2340"/>
    <n v="900"/>
    <n v="6084"/>
    <x v="3"/>
  </r>
  <r>
    <d v="2019-04-01T00:00:00"/>
    <x v="30"/>
    <x v="12"/>
    <n v="2232"/>
    <n v="961"/>
    <n v="5184"/>
    <x v="3"/>
  </r>
  <r>
    <d v="2019-05-01T00:00:00"/>
    <x v="31"/>
    <x v="18"/>
    <n v="2592"/>
    <n v="1024"/>
    <n v="6561"/>
    <x v="3"/>
  </r>
  <r>
    <d v="2019-06-01T00:00:00"/>
    <x v="32"/>
    <x v="19"/>
    <n v="2640"/>
    <n v="1089"/>
    <n v="6400"/>
    <x v="3"/>
  </r>
  <r>
    <d v="2019-07-01T00:00:00"/>
    <x v="33"/>
    <x v="15"/>
    <n v="2686"/>
    <n v="1156"/>
    <n v="6241"/>
    <x v="3"/>
  </r>
  <r>
    <d v="2019-08-01T00:00:00"/>
    <x v="34"/>
    <x v="15"/>
    <n v="2765"/>
    <n v="1225"/>
    <n v="6241"/>
    <x v="3"/>
  </r>
  <r>
    <d v="2019-09-01T00:00:00"/>
    <x v="35"/>
    <x v="11"/>
    <n v="2628"/>
    <n v="1296"/>
    <n v="5329"/>
    <x v="3"/>
  </r>
  <r>
    <d v="2019-10-01T00:00:00"/>
    <x v="36"/>
    <x v="20"/>
    <n v="2738"/>
    <n v="1369"/>
    <n v="5476"/>
    <x v="3"/>
  </r>
  <r>
    <d v="2019-11-01T00:00:00"/>
    <x v="37"/>
    <x v="21"/>
    <n v="3192"/>
    <n v="1444"/>
    <n v="7056"/>
    <x v="3"/>
  </r>
  <r>
    <d v="2019-12-01T00:00:00"/>
    <x v="38"/>
    <x v="18"/>
    <n v="3159"/>
    <n v="1521"/>
    <n v="6561"/>
    <x v="3"/>
  </r>
  <r>
    <d v="2020-01-01T00:00:00"/>
    <x v="39"/>
    <x v="2"/>
    <n v="3440"/>
    <n v="1600"/>
    <n v="7396"/>
    <x v="4"/>
  </r>
  <r>
    <d v="2020-02-01T00:00:00"/>
    <x v="40"/>
    <x v="19"/>
    <n v="3280"/>
    <n v="1681"/>
    <n v="6400"/>
    <x v="4"/>
  </r>
  <r>
    <d v="2020-03-01T00:00:00"/>
    <x v="41"/>
    <x v="13"/>
    <n v="3654"/>
    <n v="1764"/>
    <n v="7569"/>
    <x v="4"/>
  </r>
  <r>
    <d v="2020-04-01T00:00:00"/>
    <x v="42"/>
    <x v="0"/>
    <n v="3311"/>
    <n v="1849"/>
    <n v="5929"/>
    <x v="4"/>
  </r>
  <r>
    <d v="2020-05-01T00:00:00"/>
    <x v="43"/>
    <x v="9"/>
    <n v="3872"/>
    <n v="1936"/>
    <n v="7744"/>
    <x v="4"/>
  </r>
  <r>
    <d v="2020-06-01T00:00:00"/>
    <x v="44"/>
    <x v="10"/>
    <n v="3195"/>
    <n v="2025"/>
    <n v="5041"/>
    <x v="4"/>
  </r>
  <r>
    <d v="2020-07-01T00:00:00"/>
    <x v="45"/>
    <x v="2"/>
    <n v="3956"/>
    <n v="2116"/>
    <n v="7396"/>
    <x v="4"/>
  </r>
  <r>
    <d v="2020-08-01T00:00:00"/>
    <x v="46"/>
    <x v="3"/>
    <n v="3901"/>
    <n v="2209"/>
    <n v="6889"/>
    <x v="4"/>
  </r>
  <r>
    <d v="2020-09-01T00:00:00"/>
    <x v="47"/>
    <x v="4"/>
    <n v="3936"/>
    <n v="2304"/>
    <n v="6724"/>
    <x v="4"/>
  </r>
  <r>
    <d v="2020-10-01T00:00:00"/>
    <x v="48"/>
    <x v="1"/>
    <n v="3724"/>
    <n v="2401"/>
    <n v="5776"/>
    <x v="4"/>
  </r>
  <r>
    <d v="2020-11-01T00:00:00"/>
    <x v="49"/>
    <x v="19"/>
    <n v="4000"/>
    <n v="2500"/>
    <n v="640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n v="1"/>
    <n v="77"/>
    <n v="77"/>
    <n v="1"/>
    <n v="5929"/>
    <n v="2016"/>
  </r>
  <r>
    <x v="1"/>
    <n v="2"/>
    <n v="76"/>
    <n v="152"/>
    <n v="4"/>
    <n v="5776"/>
    <n v="2016"/>
  </r>
  <r>
    <x v="2"/>
    <n v="3"/>
    <n v="86"/>
    <n v="258"/>
    <n v="9"/>
    <n v="7396"/>
    <n v="2016"/>
  </r>
  <r>
    <x v="3"/>
    <n v="4"/>
    <n v="83"/>
    <n v="332"/>
    <n v="16"/>
    <n v="6889"/>
    <n v="2017"/>
  </r>
  <r>
    <x v="4"/>
    <n v="5"/>
    <n v="82"/>
    <n v="410"/>
    <n v="25"/>
    <n v="6724"/>
    <n v="2017"/>
  </r>
  <r>
    <x v="5"/>
    <n v="6"/>
    <n v="85"/>
    <n v="510"/>
    <n v="36"/>
    <n v="7225"/>
    <n v="2017"/>
  </r>
  <r>
    <x v="6"/>
    <n v="7"/>
    <n v="85"/>
    <n v="595"/>
    <n v="49"/>
    <n v="7225"/>
    <n v="2017"/>
  </r>
  <r>
    <x v="7"/>
    <n v="8"/>
    <n v="89"/>
    <n v="712"/>
    <n v="64"/>
    <n v="7921"/>
    <n v="2017"/>
  </r>
  <r>
    <x v="8"/>
    <n v="9"/>
    <n v="69"/>
    <n v="621"/>
    <n v="81"/>
    <n v="4761"/>
    <n v="2017"/>
  </r>
  <r>
    <x v="9"/>
    <n v="10"/>
    <n v="70"/>
    <n v="700"/>
    <n v="100"/>
    <n v="4900"/>
    <n v="2017"/>
  </r>
  <r>
    <x v="10"/>
    <n v="11"/>
    <n v="88"/>
    <n v="968"/>
    <n v="121"/>
    <n v="7744"/>
    <n v="2017"/>
  </r>
  <r>
    <x v="11"/>
    <n v="12"/>
    <n v="83"/>
    <n v="996"/>
    <n v="144"/>
    <n v="6889"/>
    <n v="2017"/>
  </r>
  <r>
    <x v="12"/>
    <n v="13"/>
    <n v="71"/>
    <n v="923"/>
    <n v="169"/>
    <n v="5041"/>
    <n v="2017"/>
  </r>
  <r>
    <x v="13"/>
    <n v="14"/>
    <n v="73"/>
    <n v="1022"/>
    <n v="196"/>
    <n v="5329"/>
    <n v="2017"/>
  </r>
  <r>
    <x v="14"/>
    <n v="15"/>
    <n v="72"/>
    <n v="1080"/>
    <n v="225"/>
    <n v="5184"/>
    <n v="2017"/>
  </r>
  <r>
    <x v="15"/>
    <n v="16"/>
    <n v="87"/>
    <n v="1392"/>
    <n v="256"/>
    <n v="7569"/>
    <n v="2018"/>
  </r>
  <r>
    <x v="16"/>
    <n v="17"/>
    <n v="90"/>
    <n v="1530"/>
    <n v="289"/>
    <n v="8100"/>
    <n v="2018"/>
  </r>
  <r>
    <x v="17"/>
    <n v="18"/>
    <n v="76"/>
    <n v="1368"/>
    <n v="324"/>
    <n v="5776"/>
    <n v="2018"/>
  </r>
  <r>
    <x v="18"/>
    <n v="19"/>
    <n v="77"/>
    <n v="1463"/>
    <n v="361"/>
    <n v="5929"/>
    <n v="2018"/>
  </r>
  <r>
    <x v="19"/>
    <n v="20"/>
    <n v="82"/>
    <n v="1640"/>
    <n v="400"/>
    <n v="6724"/>
    <n v="2018"/>
  </r>
  <r>
    <x v="20"/>
    <n v="21"/>
    <n v="83"/>
    <n v="1743"/>
    <n v="441"/>
    <n v="6889"/>
    <n v="2018"/>
  </r>
  <r>
    <x v="21"/>
    <n v="22"/>
    <n v="79"/>
    <n v="1738"/>
    <n v="484"/>
    <n v="6241"/>
    <n v="2018"/>
  </r>
  <r>
    <x v="22"/>
    <n v="23"/>
    <n v="75"/>
    <n v="1725"/>
    <n v="529"/>
    <n v="5625"/>
    <n v="2018"/>
  </r>
  <r>
    <x v="23"/>
    <n v="24"/>
    <n v="83"/>
    <n v="1992"/>
    <n v="576"/>
    <n v="6889"/>
    <n v="2018"/>
  </r>
  <r>
    <x v="24"/>
    <n v="25"/>
    <n v="79"/>
    <n v="1975"/>
    <n v="625"/>
    <n v="6241"/>
    <n v="2018"/>
  </r>
  <r>
    <x v="25"/>
    <n v="26"/>
    <n v="75"/>
    <n v="1950"/>
    <n v="676"/>
    <n v="5625"/>
    <n v="2018"/>
  </r>
  <r>
    <x v="26"/>
    <n v="27"/>
    <n v="83"/>
    <n v="2241"/>
    <n v="729"/>
    <n v="6889"/>
    <n v="2018"/>
  </r>
  <r>
    <x v="27"/>
    <n v="28"/>
    <n v="79"/>
    <n v="2212"/>
    <n v="784"/>
    <n v="6241"/>
    <n v="2019"/>
  </r>
  <r>
    <x v="28"/>
    <n v="29"/>
    <n v="86"/>
    <n v="2494"/>
    <n v="841"/>
    <n v="7396"/>
    <n v="2019"/>
  </r>
  <r>
    <x v="29"/>
    <n v="30"/>
    <n v="78"/>
    <n v="2340"/>
    <n v="900"/>
    <n v="6084"/>
    <n v="2019"/>
  </r>
  <r>
    <x v="30"/>
    <n v="31"/>
    <n v="72"/>
    <n v="2232"/>
    <n v="961"/>
    <n v="5184"/>
    <n v="2019"/>
  </r>
  <r>
    <x v="31"/>
    <n v="32"/>
    <n v="81"/>
    <n v="2592"/>
    <n v="1024"/>
    <n v="6561"/>
    <n v="2019"/>
  </r>
  <r>
    <x v="32"/>
    <n v="33"/>
    <n v="80"/>
    <n v="2640"/>
    <n v="1089"/>
    <n v="6400"/>
    <n v="2019"/>
  </r>
  <r>
    <x v="33"/>
    <n v="34"/>
    <n v="79"/>
    <n v="2686"/>
    <n v="1156"/>
    <n v="6241"/>
    <n v="2019"/>
  </r>
  <r>
    <x v="34"/>
    <n v="35"/>
    <n v="79"/>
    <n v="2765"/>
    <n v="1225"/>
    <n v="6241"/>
    <n v="2019"/>
  </r>
  <r>
    <x v="35"/>
    <n v="36"/>
    <n v="73"/>
    <n v="2628"/>
    <n v="1296"/>
    <n v="5329"/>
    <n v="2019"/>
  </r>
  <r>
    <x v="36"/>
    <n v="37"/>
    <n v="74"/>
    <n v="2738"/>
    <n v="1369"/>
    <n v="5476"/>
    <n v="2019"/>
  </r>
  <r>
    <x v="37"/>
    <n v="38"/>
    <n v="84"/>
    <n v="3192"/>
    <n v="1444"/>
    <n v="7056"/>
    <n v="2019"/>
  </r>
  <r>
    <x v="38"/>
    <n v="39"/>
    <n v="81"/>
    <n v="3159"/>
    <n v="1521"/>
    <n v="6561"/>
    <n v="2019"/>
  </r>
  <r>
    <x v="39"/>
    <n v="40"/>
    <n v="86"/>
    <n v="3440"/>
    <n v="1600"/>
    <n v="7396"/>
    <n v="2020"/>
  </r>
  <r>
    <x v="40"/>
    <n v="41"/>
    <n v="80"/>
    <n v="3280"/>
    <n v="1681"/>
    <n v="6400"/>
    <n v="2020"/>
  </r>
  <r>
    <x v="41"/>
    <n v="42"/>
    <n v="87"/>
    <n v="3654"/>
    <n v="1764"/>
    <n v="7569"/>
    <n v="2020"/>
  </r>
  <r>
    <x v="42"/>
    <n v="43"/>
    <n v="77"/>
    <n v="3311"/>
    <n v="1849"/>
    <n v="5929"/>
    <n v="2020"/>
  </r>
  <r>
    <x v="43"/>
    <n v="44"/>
    <n v="88"/>
    <n v="3872"/>
    <n v="1936"/>
    <n v="7744"/>
    <n v="2020"/>
  </r>
  <r>
    <x v="44"/>
    <n v="45"/>
    <n v="71"/>
    <n v="3195"/>
    <n v="2025"/>
    <n v="5041"/>
    <n v="2020"/>
  </r>
  <r>
    <x v="45"/>
    <n v="46"/>
    <n v="86"/>
    <n v="3956"/>
    <n v="2116"/>
    <n v="7396"/>
    <n v="2020"/>
  </r>
  <r>
    <x v="46"/>
    <n v="47"/>
    <n v="83"/>
    <n v="3901"/>
    <n v="2209"/>
    <n v="6889"/>
    <n v="2020"/>
  </r>
  <r>
    <x v="47"/>
    <n v="48"/>
    <n v="82"/>
    <n v="3936"/>
    <n v="2304"/>
    <n v="6724"/>
    <n v="2020"/>
  </r>
  <r>
    <x v="48"/>
    <n v="49"/>
    <n v="76"/>
    <n v="3724"/>
    <n v="2401"/>
    <n v="5776"/>
    <n v="2020"/>
  </r>
  <r>
    <x v="49"/>
    <n v="50"/>
    <n v="80"/>
    <n v="4000"/>
    <n v="2500"/>
    <n v="6400"/>
    <n v="2020"/>
  </r>
  <r>
    <x v="50"/>
    <n v="1275"/>
    <n v="4000"/>
    <n v="102060"/>
    <n v="42925"/>
    <n v="321464"/>
    <m/>
  </r>
  <r>
    <x v="5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AFE64-89B1-4B40-A197-0157AC33F219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allDrilled="1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kunjungan Puskesmas (Y)" fld="0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asil!$A:$G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8FAA8-7EF7-4BC9-B9D3-7C031C5F5C3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56" firstHeaderRow="1" firstDataRow="1" firstDataCol="1"/>
  <pivotFields count="7">
    <pivotField axis="axisRow" showAll="0">
      <items count="53"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 of kunjungan Puskesmas (Y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E6E5A-D18A-45CD-A5CE-7C80D2D7D32E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3:B9" firstHeaderRow="1" firstDataRow="1" firstDataCol="1"/>
  <pivotFields count="7">
    <pivotField numFmtId="17" showAll="0"/>
    <pivotField showAll="0"/>
    <pivotField dataField="1" showAll="0"/>
    <pivotField showAll="0"/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kunjungan Puskesmas (Y)" fld="2" baseField="0" baseItem="0"/>
  </dataFields>
  <formats count="2">
    <format dxfId="1">
      <pivotArea dataOnly="0" fieldPosition="0">
        <references count="1">
          <reference field="6" count="1">
            <x v="0"/>
          </reference>
        </references>
      </pivotArea>
    </format>
    <format dxfId="0">
      <pivotArea dataOnly="0" fieldPosition="0">
        <references count="1">
          <reference field="6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showGridLines="0" tabSelected="1" zoomScale="155" zoomScaleNormal="207" workbookViewId="0">
      <pane ySplit="1" topLeftCell="A2" activePane="bottomLeft" state="frozen"/>
      <selection pane="bottomLeft" activeCell="C1" sqref="C1"/>
    </sheetView>
  </sheetViews>
  <sheetFormatPr defaultRowHeight="14.25" x14ac:dyDescent="0.45"/>
  <cols>
    <col min="1" max="1" width="11.9296875" customWidth="1"/>
    <col min="2" max="2" width="25.86328125" customWidth="1"/>
    <col min="3" max="4" width="22.265625" customWidth="1"/>
    <col min="7" max="7" width="24.19921875" customWidth="1"/>
    <col min="9" max="9" width="23.1328125" customWidth="1"/>
    <col min="10" max="10" width="9.06640625" customWidth="1"/>
    <col min="11" max="11" width="15.86328125" customWidth="1"/>
    <col min="12" max="12" width="9.06640625" customWidth="1"/>
  </cols>
  <sheetData>
    <row r="1" spans="1:11" x14ac:dyDescent="0.45">
      <c r="A1" s="9" t="s">
        <v>0</v>
      </c>
      <c r="B1" s="20" t="s">
        <v>1</v>
      </c>
      <c r="C1" s="21" t="s">
        <v>2</v>
      </c>
      <c r="D1" s="17"/>
    </row>
    <row r="2" spans="1:11" x14ac:dyDescent="0.45">
      <c r="A2" s="10">
        <v>42644</v>
      </c>
      <c r="B2" s="1">
        <v>1</v>
      </c>
      <c r="C2" s="1">
        <v>77</v>
      </c>
    </row>
    <row r="3" spans="1:11" x14ac:dyDescent="0.45">
      <c r="A3" s="10">
        <v>42675</v>
      </c>
      <c r="B3" s="1">
        <v>2</v>
      </c>
      <c r="C3" s="1">
        <v>76</v>
      </c>
    </row>
    <row r="4" spans="1:11" x14ac:dyDescent="0.45">
      <c r="A4" s="10">
        <v>42705</v>
      </c>
      <c r="B4" s="1">
        <v>3</v>
      </c>
      <c r="C4" s="1">
        <v>86</v>
      </c>
    </row>
    <row r="5" spans="1:11" x14ac:dyDescent="0.45">
      <c r="A5" s="10">
        <v>42736</v>
      </c>
      <c r="B5" s="1">
        <v>4</v>
      </c>
      <c r="C5" s="1">
        <v>83</v>
      </c>
    </row>
    <row r="6" spans="1:11" x14ac:dyDescent="0.45">
      <c r="A6" s="10">
        <v>42767</v>
      </c>
      <c r="B6" s="1">
        <v>5</v>
      </c>
      <c r="C6" s="1">
        <v>82</v>
      </c>
    </row>
    <row r="7" spans="1:11" x14ac:dyDescent="0.45">
      <c r="A7" s="10">
        <v>42795</v>
      </c>
      <c r="B7" s="1">
        <v>6</v>
      </c>
      <c r="C7" s="1">
        <v>85</v>
      </c>
    </row>
    <row r="8" spans="1:11" x14ac:dyDescent="0.45">
      <c r="A8" s="10">
        <v>42826</v>
      </c>
      <c r="B8" s="1">
        <v>7</v>
      </c>
      <c r="C8" s="1">
        <v>85</v>
      </c>
    </row>
    <row r="9" spans="1:11" x14ac:dyDescent="0.45">
      <c r="A9" s="10">
        <v>42856</v>
      </c>
      <c r="B9" s="1">
        <v>8</v>
      </c>
      <c r="C9" s="1">
        <v>89</v>
      </c>
    </row>
    <row r="10" spans="1:11" x14ac:dyDescent="0.45">
      <c r="A10" s="10">
        <v>42887</v>
      </c>
      <c r="B10" s="1">
        <v>9</v>
      </c>
      <c r="C10" s="1">
        <v>69</v>
      </c>
    </row>
    <row r="11" spans="1:11" x14ac:dyDescent="0.45">
      <c r="A11" s="10">
        <v>42917</v>
      </c>
      <c r="B11" s="1">
        <v>10</v>
      </c>
      <c r="C11" s="1">
        <v>70</v>
      </c>
      <c r="F11" s="28"/>
      <c r="G11" s="6"/>
      <c r="H11" s="28"/>
      <c r="I11" s="3"/>
      <c r="J11" s="28"/>
      <c r="K11" s="30"/>
    </row>
    <row r="12" spans="1:11" x14ac:dyDescent="0.45">
      <c r="A12" s="10">
        <v>42948</v>
      </c>
      <c r="B12" s="1">
        <v>11</v>
      </c>
      <c r="C12" s="1">
        <v>88</v>
      </c>
      <c r="F12" s="28"/>
      <c r="G12" s="6"/>
      <c r="H12" s="28"/>
      <c r="I12" s="3"/>
      <c r="J12" s="28"/>
      <c r="K12" s="30"/>
    </row>
    <row r="13" spans="1:11" x14ac:dyDescent="0.45">
      <c r="A13" s="10">
        <v>42979</v>
      </c>
      <c r="B13" s="1">
        <v>12</v>
      </c>
      <c r="C13" s="1">
        <v>83</v>
      </c>
    </row>
    <row r="14" spans="1:11" x14ac:dyDescent="0.45">
      <c r="A14" s="10">
        <v>43009</v>
      </c>
      <c r="B14" s="1">
        <v>13</v>
      </c>
      <c r="C14" s="1">
        <v>71</v>
      </c>
      <c r="F14" s="28"/>
      <c r="G14" s="6"/>
      <c r="H14" s="28"/>
      <c r="I14" s="4"/>
      <c r="J14" s="28"/>
      <c r="K14" s="31"/>
    </row>
    <row r="15" spans="1:11" x14ac:dyDescent="0.45">
      <c r="A15" s="10">
        <v>43040</v>
      </c>
      <c r="B15" s="1">
        <v>14</v>
      </c>
      <c r="C15" s="1">
        <v>73</v>
      </c>
      <c r="F15" s="28"/>
      <c r="G15" s="6"/>
      <c r="H15" s="28"/>
      <c r="I15" s="4"/>
      <c r="J15" s="28"/>
      <c r="K15" s="31"/>
    </row>
    <row r="16" spans="1:11" x14ac:dyDescent="0.45">
      <c r="A16" s="10">
        <v>43070</v>
      </c>
      <c r="B16" s="1">
        <v>15</v>
      </c>
      <c r="C16" s="1">
        <v>72</v>
      </c>
    </row>
    <row r="17" spans="1:9" x14ac:dyDescent="0.45">
      <c r="A17" s="10">
        <v>43101</v>
      </c>
      <c r="B17" s="1">
        <v>16</v>
      </c>
      <c r="C17" s="1">
        <v>87</v>
      </c>
      <c r="D17" s="16"/>
      <c r="E17" s="29"/>
      <c r="F17" s="28"/>
      <c r="G17" s="2"/>
      <c r="H17" s="4"/>
    </row>
    <row r="18" spans="1:9" x14ac:dyDescent="0.45">
      <c r="A18" s="10">
        <v>43132</v>
      </c>
      <c r="B18" s="1">
        <v>17</v>
      </c>
      <c r="C18" s="1">
        <v>90</v>
      </c>
    </row>
    <row r="19" spans="1:9" x14ac:dyDescent="0.45">
      <c r="A19" s="10">
        <v>43160</v>
      </c>
      <c r="B19" s="1">
        <v>18</v>
      </c>
      <c r="C19" s="1">
        <v>76</v>
      </c>
    </row>
    <row r="20" spans="1:9" x14ac:dyDescent="0.45">
      <c r="A20" s="10">
        <v>43191</v>
      </c>
      <c r="B20" s="1">
        <v>19</v>
      </c>
      <c r="C20" s="1">
        <v>77</v>
      </c>
      <c r="I20" s="14"/>
    </row>
    <row r="21" spans="1:9" x14ac:dyDescent="0.45">
      <c r="A21" s="10">
        <v>43221</v>
      </c>
      <c r="B21" s="1">
        <v>20</v>
      </c>
      <c r="C21" s="1">
        <v>82</v>
      </c>
    </row>
    <row r="22" spans="1:9" x14ac:dyDescent="0.45">
      <c r="A22" s="10">
        <v>43252</v>
      </c>
      <c r="B22" s="1">
        <v>21</v>
      </c>
      <c r="C22" s="1">
        <v>83</v>
      </c>
    </row>
    <row r="23" spans="1:9" x14ac:dyDescent="0.45">
      <c r="A23" s="10">
        <v>43282</v>
      </c>
      <c r="B23" s="1">
        <v>22</v>
      </c>
      <c r="C23" s="1">
        <v>79</v>
      </c>
    </row>
    <row r="24" spans="1:9" x14ac:dyDescent="0.45">
      <c r="A24" s="10">
        <v>43313</v>
      </c>
      <c r="B24" s="1">
        <v>23</v>
      </c>
      <c r="C24" s="1">
        <v>75</v>
      </c>
    </row>
    <row r="25" spans="1:9" x14ac:dyDescent="0.45">
      <c r="A25" s="10">
        <v>43344</v>
      </c>
      <c r="B25" s="1">
        <v>24</v>
      </c>
      <c r="C25" s="1">
        <v>83</v>
      </c>
    </row>
    <row r="26" spans="1:9" x14ac:dyDescent="0.45">
      <c r="A26" s="10">
        <v>43374</v>
      </c>
      <c r="B26" s="1">
        <v>25</v>
      </c>
      <c r="C26" s="1">
        <v>79</v>
      </c>
    </row>
    <row r="27" spans="1:9" x14ac:dyDescent="0.45">
      <c r="A27" s="10">
        <v>43405</v>
      </c>
      <c r="B27" s="1">
        <v>26</v>
      </c>
      <c r="C27" s="1">
        <v>75</v>
      </c>
    </row>
    <row r="28" spans="1:9" x14ac:dyDescent="0.45">
      <c r="A28" s="10">
        <v>43435</v>
      </c>
      <c r="B28" s="1">
        <v>27</v>
      </c>
      <c r="C28" s="1">
        <v>83</v>
      </c>
    </row>
    <row r="29" spans="1:9" x14ac:dyDescent="0.45">
      <c r="A29" s="10">
        <v>43466</v>
      </c>
      <c r="B29" s="1">
        <v>28</v>
      </c>
      <c r="C29" s="1">
        <v>79</v>
      </c>
    </row>
    <row r="30" spans="1:9" x14ac:dyDescent="0.45">
      <c r="A30" s="10">
        <v>43497</v>
      </c>
      <c r="B30" s="1">
        <v>29</v>
      </c>
      <c r="C30" s="1">
        <v>86</v>
      </c>
    </row>
    <row r="31" spans="1:9" x14ac:dyDescent="0.45">
      <c r="A31" s="10">
        <v>43525</v>
      </c>
      <c r="B31" s="1">
        <v>30</v>
      </c>
      <c r="C31" s="1">
        <v>78</v>
      </c>
    </row>
    <row r="32" spans="1:9" x14ac:dyDescent="0.45">
      <c r="A32" s="10">
        <v>43556</v>
      </c>
      <c r="B32" s="1">
        <v>31</v>
      </c>
      <c r="C32" s="1">
        <v>72</v>
      </c>
    </row>
    <row r="33" spans="1:3" x14ac:dyDescent="0.45">
      <c r="A33" s="10">
        <v>43586</v>
      </c>
      <c r="B33" s="1">
        <v>32</v>
      </c>
      <c r="C33" s="1">
        <v>81</v>
      </c>
    </row>
    <row r="34" spans="1:3" x14ac:dyDescent="0.45">
      <c r="A34" s="10">
        <v>43617</v>
      </c>
      <c r="B34" s="1">
        <v>33</v>
      </c>
      <c r="C34" s="1">
        <v>80</v>
      </c>
    </row>
    <row r="35" spans="1:3" x14ac:dyDescent="0.45">
      <c r="A35" s="10">
        <v>43647</v>
      </c>
      <c r="B35" s="1">
        <v>34</v>
      </c>
      <c r="C35" s="1">
        <v>79</v>
      </c>
    </row>
    <row r="36" spans="1:3" x14ac:dyDescent="0.45">
      <c r="A36" s="10">
        <v>43678</v>
      </c>
      <c r="B36" s="1">
        <v>35</v>
      </c>
      <c r="C36" s="1">
        <v>79</v>
      </c>
    </row>
    <row r="37" spans="1:3" x14ac:dyDescent="0.45">
      <c r="A37" s="10">
        <v>43709</v>
      </c>
      <c r="B37" s="1">
        <v>36</v>
      </c>
      <c r="C37" s="1">
        <v>73</v>
      </c>
    </row>
    <row r="38" spans="1:3" x14ac:dyDescent="0.45">
      <c r="A38" s="10">
        <v>43739</v>
      </c>
      <c r="B38" s="1">
        <v>37</v>
      </c>
      <c r="C38" s="1">
        <v>74</v>
      </c>
    </row>
    <row r="39" spans="1:3" x14ac:dyDescent="0.45">
      <c r="A39" s="10">
        <v>43770</v>
      </c>
      <c r="B39" s="1">
        <v>38</v>
      </c>
      <c r="C39" s="1">
        <v>84</v>
      </c>
    </row>
    <row r="40" spans="1:3" x14ac:dyDescent="0.45">
      <c r="A40" s="10">
        <v>43800</v>
      </c>
      <c r="B40" s="1">
        <v>39</v>
      </c>
      <c r="C40" s="1">
        <v>81</v>
      </c>
    </row>
    <row r="41" spans="1:3" x14ac:dyDescent="0.45">
      <c r="A41" s="10">
        <v>43831</v>
      </c>
      <c r="B41" s="1">
        <v>40</v>
      </c>
      <c r="C41" s="1">
        <v>86</v>
      </c>
    </row>
    <row r="42" spans="1:3" x14ac:dyDescent="0.45">
      <c r="A42" s="10">
        <v>43862</v>
      </c>
      <c r="B42" s="1">
        <v>41</v>
      </c>
      <c r="C42" s="1">
        <v>80</v>
      </c>
    </row>
    <row r="43" spans="1:3" x14ac:dyDescent="0.45">
      <c r="A43" s="10">
        <v>43891</v>
      </c>
      <c r="B43" s="1">
        <v>42</v>
      </c>
      <c r="C43" s="1">
        <v>87</v>
      </c>
    </row>
    <row r="44" spans="1:3" x14ac:dyDescent="0.45">
      <c r="A44" s="10">
        <v>43922</v>
      </c>
      <c r="B44" s="1">
        <v>43</v>
      </c>
      <c r="C44" s="1">
        <v>77</v>
      </c>
    </row>
    <row r="45" spans="1:3" x14ac:dyDescent="0.45">
      <c r="A45" s="10">
        <v>43952</v>
      </c>
      <c r="B45" s="1">
        <v>44</v>
      </c>
      <c r="C45" s="1">
        <v>88</v>
      </c>
    </row>
    <row r="46" spans="1:3" x14ac:dyDescent="0.45">
      <c r="A46" s="10">
        <v>43983</v>
      </c>
      <c r="B46" s="1">
        <v>45</v>
      </c>
      <c r="C46" s="1">
        <v>71</v>
      </c>
    </row>
    <row r="47" spans="1:3" x14ac:dyDescent="0.45">
      <c r="A47" s="10">
        <v>44013</v>
      </c>
      <c r="B47" s="1">
        <v>46</v>
      </c>
      <c r="C47" s="1">
        <v>86</v>
      </c>
    </row>
    <row r="48" spans="1:3" x14ac:dyDescent="0.45">
      <c r="A48" s="10">
        <v>44044</v>
      </c>
      <c r="B48" s="1">
        <v>47</v>
      </c>
      <c r="C48" s="1">
        <v>83</v>
      </c>
    </row>
    <row r="49" spans="1:4" x14ac:dyDescent="0.45">
      <c r="A49" s="10">
        <v>44075</v>
      </c>
      <c r="B49" s="1">
        <v>48</v>
      </c>
      <c r="C49" s="1">
        <v>82</v>
      </c>
    </row>
    <row r="50" spans="1:4" x14ac:dyDescent="0.45">
      <c r="A50" s="10">
        <v>44105</v>
      </c>
      <c r="B50" s="1">
        <v>49</v>
      </c>
      <c r="C50" s="1">
        <v>76</v>
      </c>
    </row>
    <row r="51" spans="1:4" x14ac:dyDescent="0.45">
      <c r="A51" s="12">
        <v>44136</v>
      </c>
      <c r="B51" s="18">
        <v>50</v>
      </c>
      <c r="C51" s="19" t="s">
        <v>17</v>
      </c>
      <c r="D51" s="3"/>
    </row>
    <row r="52" spans="1:4" x14ac:dyDescent="0.45">
      <c r="A52" s="15" t="s">
        <v>16</v>
      </c>
      <c r="B52" s="1">
        <f>SUM(B2:B50)</f>
        <v>1225</v>
      </c>
      <c r="C52" s="1">
        <f>SUM(C2:C50)</f>
        <v>3920</v>
      </c>
    </row>
  </sheetData>
  <mergeCells count="9">
    <mergeCell ref="F11:F12"/>
    <mergeCell ref="F14:F15"/>
    <mergeCell ref="J11:J12"/>
    <mergeCell ref="E17:F17"/>
    <mergeCell ref="K11:K12"/>
    <mergeCell ref="J14:J15"/>
    <mergeCell ref="K14:K15"/>
    <mergeCell ref="H11:H12"/>
    <mergeCell ref="H14:H15"/>
  </mergeCells>
  <pageMargins left="0.7" right="0.7" top="0.75" bottom="0.75" header="0.3" footer="0.3"/>
  <pageSetup orientation="portrait" r:id="rId1"/>
  <ignoredErrors>
    <ignoredError sqref="B5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2438-D6E0-4F58-BED1-ACCEB30F472E}">
  <dimension ref="A1:M52"/>
  <sheetViews>
    <sheetView showGridLines="0" topLeftCell="B1" zoomScale="107" zoomScaleNormal="145" workbookViewId="0">
      <pane ySplit="1" topLeftCell="A35" activePane="bottomLeft" state="frozen"/>
      <selection pane="bottomLeft" activeCell="G1" sqref="G1"/>
    </sheetView>
  </sheetViews>
  <sheetFormatPr defaultRowHeight="14.25" x14ac:dyDescent="0.45"/>
  <cols>
    <col min="1" max="1" width="11.9296875" customWidth="1"/>
    <col min="2" max="2" width="25.86328125" customWidth="1"/>
    <col min="3" max="3" width="22.265625" customWidth="1"/>
    <col min="9" max="9" width="24.19921875" customWidth="1"/>
    <col min="11" max="11" width="23.1328125" customWidth="1"/>
    <col min="12" max="12" width="9.06640625" customWidth="1"/>
    <col min="13" max="13" width="15.86328125" customWidth="1"/>
    <col min="14" max="14" width="9.06640625" customWidth="1"/>
  </cols>
  <sheetData>
    <row r="1" spans="1:13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13" x14ac:dyDescent="0.45">
      <c r="A2" s="10">
        <v>42644</v>
      </c>
      <c r="B2" s="1">
        <v>1</v>
      </c>
      <c r="C2" s="1">
        <v>77</v>
      </c>
      <c r="D2" s="1">
        <f>(B2*C2)</f>
        <v>77</v>
      </c>
      <c r="E2" s="1">
        <f>(B2^2)</f>
        <v>1</v>
      </c>
      <c r="F2" s="1">
        <f>(C2^2)</f>
        <v>5929</v>
      </c>
    </row>
    <row r="3" spans="1:13" x14ac:dyDescent="0.45">
      <c r="A3" s="10">
        <v>42675</v>
      </c>
      <c r="B3" s="1">
        <v>2</v>
      </c>
      <c r="C3" s="1">
        <v>76</v>
      </c>
      <c r="D3" s="1">
        <f t="shared" ref="D3:D50" si="0">(B3*C3)</f>
        <v>152</v>
      </c>
      <c r="E3" s="1">
        <f t="shared" ref="E3:E50" si="1">(B3^2)</f>
        <v>4</v>
      </c>
      <c r="F3" s="1">
        <f t="shared" ref="F3:F50" si="2">(C3^2)</f>
        <v>5776</v>
      </c>
    </row>
    <row r="4" spans="1:13" x14ac:dyDescent="0.45">
      <c r="A4" s="10">
        <v>42705</v>
      </c>
      <c r="B4" s="1">
        <v>3</v>
      </c>
      <c r="C4" s="1">
        <v>86</v>
      </c>
      <c r="D4" s="1">
        <f t="shared" si="0"/>
        <v>258</v>
      </c>
      <c r="E4" s="1">
        <f t="shared" si="1"/>
        <v>9</v>
      </c>
      <c r="F4" s="1">
        <f t="shared" si="2"/>
        <v>7396</v>
      </c>
    </row>
    <row r="5" spans="1:13" x14ac:dyDescent="0.45">
      <c r="A5" s="10">
        <v>42736</v>
      </c>
      <c r="B5" s="1">
        <v>4</v>
      </c>
      <c r="C5" s="1">
        <v>83</v>
      </c>
      <c r="D5" s="1">
        <f t="shared" si="0"/>
        <v>332</v>
      </c>
      <c r="E5" s="1">
        <f t="shared" si="1"/>
        <v>16</v>
      </c>
      <c r="F5" s="1">
        <f t="shared" si="2"/>
        <v>6889</v>
      </c>
    </row>
    <row r="6" spans="1:13" x14ac:dyDescent="0.45">
      <c r="A6" s="10">
        <v>42767</v>
      </c>
      <c r="B6" s="1">
        <v>5</v>
      </c>
      <c r="C6" s="1">
        <v>82</v>
      </c>
      <c r="D6" s="1">
        <f t="shared" si="0"/>
        <v>410</v>
      </c>
      <c r="E6" s="1">
        <f t="shared" si="1"/>
        <v>25</v>
      </c>
      <c r="F6" s="1">
        <f t="shared" si="2"/>
        <v>6724</v>
      </c>
    </row>
    <row r="7" spans="1:13" x14ac:dyDescent="0.45">
      <c r="A7" s="10">
        <v>42795</v>
      </c>
      <c r="B7" s="1">
        <v>6</v>
      </c>
      <c r="C7" s="1">
        <v>85</v>
      </c>
      <c r="D7" s="1">
        <f t="shared" si="0"/>
        <v>510</v>
      </c>
      <c r="E7" s="1">
        <f t="shared" si="1"/>
        <v>36</v>
      </c>
      <c r="F7" s="1">
        <f t="shared" si="2"/>
        <v>7225</v>
      </c>
    </row>
    <row r="8" spans="1:13" x14ac:dyDescent="0.45">
      <c r="A8" s="10">
        <v>42826</v>
      </c>
      <c r="B8" s="1">
        <v>7</v>
      </c>
      <c r="C8" s="1">
        <v>85</v>
      </c>
      <c r="D8" s="1">
        <f t="shared" si="0"/>
        <v>595</v>
      </c>
      <c r="E8" s="1">
        <f t="shared" si="1"/>
        <v>49</v>
      </c>
      <c r="F8" s="1">
        <f t="shared" si="2"/>
        <v>7225</v>
      </c>
    </row>
    <row r="9" spans="1:13" x14ac:dyDescent="0.45">
      <c r="A9" s="10">
        <v>42856</v>
      </c>
      <c r="B9" s="1">
        <v>8</v>
      </c>
      <c r="C9" s="1">
        <v>89</v>
      </c>
      <c r="D9" s="1">
        <f t="shared" si="0"/>
        <v>712</v>
      </c>
      <c r="E9" s="1">
        <f t="shared" si="1"/>
        <v>64</v>
      </c>
      <c r="F9" s="1">
        <f t="shared" si="2"/>
        <v>7921</v>
      </c>
    </row>
    <row r="10" spans="1:13" x14ac:dyDescent="0.45">
      <c r="A10" s="10">
        <v>42887</v>
      </c>
      <c r="B10" s="1">
        <v>9</v>
      </c>
      <c r="C10" s="1">
        <v>69</v>
      </c>
      <c r="D10" s="1">
        <f t="shared" si="0"/>
        <v>621</v>
      </c>
      <c r="E10" s="1">
        <f t="shared" si="1"/>
        <v>81</v>
      </c>
      <c r="F10" s="1">
        <f t="shared" si="2"/>
        <v>4761</v>
      </c>
    </row>
    <row r="11" spans="1:13" x14ac:dyDescent="0.45">
      <c r="A11" s="10">
        <v>42917</v>
      </c>
      <c r="B11" s="1">
        <v>10</v>
      </c>
      <c r="C11" s="1">
        <v>70</v>
      </c>
      <c r="D11" s="1">
        <f t="shared" si="0"/>
        <v>700</v>
      </c>
      <c r="E11" s="1">
        <f t="shared" si="1"/>
        <v>100</v>
      </c>
      <c r="F11" s="1">
        <f t="shared" si="2"/>
        <v>4900</v>
      </c>
      <c r="H11" s="28"/>
      <c r="I11" s="6"/>
      <c r="J11" s="28"/>
      <c r="K11" s="3"/>
      <c r="L11" s="28"/>
      <c r="M11" s="30"/>
    </row>
    <row r="12" spans="1:13" x14ac:dyDescent="0.45">
      <c r="A12" s="10">
        <v>42948</v>
      </c>
      <c r="B12" s="1">
        <v>11</v>
      </c>
      <c r="C12" s="1">
        <v>88</v>
      </c>
      <c r="D12" s="1">
        <f t="shared" si="0"/>
        <v>968</v>
      </c>
      <c r="E12" s="1">
        <f t="shared" si="1"/>
        <v>121</v>
      </c>
      <c r="F12" s="1">
        <f t="shared" si="2"/>
        <v>7744</v>
      </c>
      <c r="H12" s="28"/>
      <c r="I12" s="6"/>
      <c r="J12" s="28"/>
      <c r="K12" s="3"/>
      <c r="L12" s="28"/>
      <c r="M12" s="30"/>
    </row>
    <row r="13" spans="1:13" x14ac:dyDescent="0.45">
      <c r="A13" s="10">
        <v>42979</v>
      </c>
      <c r="B13" s="1">
        <v>12</v>
      </c>
      <c r="C13" s="1">
        <v>83</v>
      </c>
      <c r="D13" s="1">
        <f t="shared" si="0"/>
        <v>996</v>
      </c>
      <c r="E13" s="1">
        <f t="shared" si="1"/>
        <v>144</v>
      </c>
      <c r="F13" s="1">
        <f t="shared" si="2"/>
        <v>6889</v>
      </c>
    </row>
    <row r="14" spans="1:13" x14ac:dyDescent="0.45">
      <c r="A14" s="10">
        <v>43009</v>
      </c>
      <c r="B14" s="1">
        <v>13</v>
      </c>
      <c r="C14" s="1">
        <v>71</v>
      </c>
      <c r="D14" s="1">
        <f t="shared" si="0"/>
        <v>923</v>
      </c>
      <c r="E14" s="1">
        <f t="shared" si="1"/>
        <v>169</v>
      </c>
      <c r="F14" s="1">
        <f t="shared" si="2"/>
        <v>5041</v>
      </c>
      <c r="H14" s="28"/>
      <c r="I14" s="6"/>
      <c r="J14" s="28"/>
      <c r="K14" s="4"/>
      <c r="L14" s="28"/>
      <c r="M14" s="31"/>
    </row>
    <row r="15" spans="1:13" x14ac:dyDescent="0.45">
      <c r="A15" s="10">
        <v>43040</v>
      </c>
      <c r="B15" s="1">
        <v>14</v>
      </c>
      <c r="C15" s="1">
        <v>73</v>
      </c>
      <c r="D15" s="1">
        <f t="shared" si="0"/>
        <v>1022</v>
      </c>
      <c r="E15" s="1">
        <f t="shared" si="1"/>
        <v>196</v>
      </c>
      <c r="F15" s="1">
        <f t="shared" si="2"/>
        <v>5329</v>
      </c>
      <c r="H15" s="28"/>
      <c r="I15" s="6"/>
      <c r="J15" s="28"/>
      <c r="K15" s="4"/>
      <c r="L15" s="28"/>
      <c r="M15" s="31"/>
    </row>
    <row r="16" spans="1:13" x14ac:dyDescent="0.45">
      <c r="A16" s="10">
        <v>43070</v>
      </c>
      <c r="B16" s="1">
        <v>15</v>
      </c>
      <c r="C16" s="1">
        <v>72</v>
      </c>
      <c r="D16" s="1">
        <f t="shared" si="0"/>
        <v>1080</v>
      </c>
      <c r="E16" s="1">
        <f t="shared" si="1"/>
        <v>225</v>
      </c>
      <c r="F16" s="1">
        <f t="shared" si="2"/>
        <v>5184</v>
      </c>
    </row>
    <row r="17" spans="1:11" x14ac:dyDescent="0.45">
      <c r="A17" s="10">
        <v>43101</v>
      </c>
      <c r="B17" s="1">
        <v>16</v>
      </c>
      <c r="C17" s="1">
        <v>87</v>
      </c>
      <c r="D17" s="1">
        <f t="shared" si="0"/>
        <v>1392</v>
      </c>
      <c r="E17" s="1">
        <f t="shared" si="1"/>
        <v>256</v>
      </c>
      <c r="F17" s="1">
        <f t="shared" si="2"/>
        <v>7569</v>
      </c>
      <c r="G17" s="28"/>
      <c r="H17" s="28"/>
      <c r="I17" s="2"/>
      <c r="J17" s="4"/>
    </row>
    <row r="18" spans="1:11" x14ac:dyDescent="0.45">
      <c r="A18" s="10">
        <v>43132</v>
      </c>
      <c r="B18" s="1">
        <v>17</v>
      </c>
      <c r="C18" s="1">
        <v>90</v>
      </c>
      <c r="D18" s="1">
        <f t="shared" si="0"/>
        <v>1530</v>
      </c>
      <c r="E18" s="1">
        <f t="shared" si="1"/>
        <v>289</v>
      </c>
      <c r="F18" s="1">
        <f t="shared" si="2"/>
        <v>8100</v>
      </c>
    </row>
    <row r="19" spans="1:11" x14ac:dyDescent="0.45">
      <c r="A19" s="10">
        <v>43160</v>
      </c>
      <c r="B19" s="1">
        <v>18</v>
      </c>
      <c r="C19" s="1">
        <v>76</v>
      </c>
      <c r="D19" s="1">
        <f t="shared" si="0"/>
        <v>1368</v>
      </c>
      <c r="E19" s="1">
        <f t="shared" si="1"/>
        <v>324</v>
      </c>
      <c r="F19" s="1">
        <f t="shared" si="2"/>
        <v>5776</v>
      </c>
    </row>
    <row r="20" spans="1:11" x14ac:dyDescent="0.45">
      <c r="A20" s="10">
        <v>43191</v>
      </c>
      <c r="B20" s="1">
        <v>19</v>
      </c>
      <c r="C20" s="1">
        <v>77</v>
      </c>
      <c r="D20" s="1">
        <f t="shared" si="0"/>
        <v>1463</v>
      </c>
      <c r="E20" s="1">
        <f t="shared" si="1"/>
        <v>361</v>
      </c>
      <c r="F20" s="1">
        <f t="shared" si="2"/>
        <v>5929</v>
      </c>
      <c r="K20" s="14"/>
    </row>
    <row r="21" spans="1:11" x14ac:dyDescent="0.45">
      <c r="A21" s="10">
        <v>43221</v>
      </c>
      <c r="B21" s="1">
        <v>20</v>
      </c>
      <c r="C21" s="1">
        <v>82</v>
      </c>
      <c r="D21" s="1">
        <f t="shared" si="0"/>
        <v>1640</v>
      </c>
      <c r="E21" s="1">
        <f t="shared" si="1"/>
        <v>400</v>
      </c>
      <c r="F21" s="1">
        <f t="shared" si="2"/>
        <v>6724</v>
      </c>
    </row>
    <row r="22" spans="1:11" x14ac:dyDescent="0.45">
      <c r="A22" s="10">
        <v>43252</v>
      </c>
      <c r="B22" s="1">
        <v>21</v>
      </c>
      <c r="C22" s="1">
        <v>83</v>
      </c>
      <c r="D22" s="1">
        <f t="shared" si="0"/>
        <v>1743</v>
      </c>
      <c r="E22" s="1">
        <f t="shared" si="1"/>
        <v>441</v>
      </c>
      <c r="F22" s="1">
        <f t="shared" si="2"/>
        <v>6889</v>
      </c>
    </row>
    <row r="23" spans="1:11" x14ac:dyDescent="0.45">
      <c r="A23" s="10">
        <v>43282</v>
      </c>
      <c r="B23" s="1">
        <v>22</v>
      </c>
      <c r="C23" s="1">
        <v>79</v>
      </c>
      <c r="D23" s="1">
        <f t="shared" si="0"/>
        <v>1738</v>
      </c>
      <c r="E23" s="1">
        <f t="shared" si="1"/>
        <v>484</v>
      </c>
      <c r="F23" s="1">
        <f t="shared" si="2"/>
        <v>6241</v>
      </c>
    </row>
    <row r="24" spans="1:11" x14ac:dyDescent="0.45">
      <c r="A24" s="10">
        <v>43313</v>
      </c>
      <c r="B24" s="1">
        <v>23</v>
      </c>
      <c r="C24" s="1">
        <v>75</v>
      </c>
      <c r="D24" s="1">
        <f t="shared" si="0"/>
        <v>1725</v>
      </c>
      <c r="E24" s="1">
        <f t="shared" si="1"/>
        <v>529</v>
      </c>
      <c r="F24" s="1">
        <f t="shared" si="2"/>
        <v>5625</v>
      </c>
    </row>
    <row r="25" spans="1:11" x14ac:dyDescent="0.45">
      <c r="A25" s="10">
        <v>43344</v>
      </c>
      <c r="B25" s="1">
        <v>24</v>
      </c>
      <c r="C25" s="1">
        <v>83</v>
      </c>
      <c r="D25" s="1">
        <f t="shared" si="0"/>
        <v>1992</v>
      </c>
      <c r="E25" s="1">
        <f t="shared" si="1"/>
        <v>576</v>
      </c>
      <c r="F25" s="1">
        <f t="shared" si="2"/>
        <v>6889</v>
      </c>
    </row>
    <row r="26" spans="1:11" x14ac:dyDescent="0.45">
      <c r="A26" s="10">
        <v>43374</v>
      </c>
      <c r="B26" s="1">
        <v>25</v>
      </c>
      <c r="C26" s="1">
        <v>79</v>
      </c>
      <c r="D26" s="1">
        <f t="shared" si="0"/>
        <v>1975</v>
      </c>
      <c r="E26" s="1">
        <f t="shared" si="1"/>
        <v>625</v>
      </c>
      <c r="F26" s="1">
        <f t="shared" si="2"/>
        <v>6241</v>
      </c>
    </row>
    <row r="27" spans="1:11" x14ac:dyDescent="0.45">
      <c r="A27" s="10">
        <v>43405</v>
      </c>
      <c r="B27" s="1">
        <v>26</v>
      </c>
      <c r="C27" s="1">
        <v>75</v>
      </c>
      <c r="D27" s="1">
        <f t="shared" si="0"/>
        <v>1950</v>
      </c>
      <c r="E27" s="1">
        <f t="shared" si="1"/>
        <v>676</v>
      </c>
      <c r="F27" s="1">
        <f t="shared" si="2"/>
        <v>5625</v>
      </c>
    </row>
    <row r="28" spans="1:11" x14ac:dyDescent="0.45">
      <c r="A28" s="10">
        <v>43435</v>
      </c>
      <c r="B28" s="1">
        <v>27</v>
      </c>
      <c r="C28" s="1">
        <v>83</v>
      </c>
      <c r="D28" s="1">
        <f t="shared" si="0"/>
        <v>2241</v>
      </c>
      <c r="E28" s="1">
        <f t="shared" si="1"/>
        <v>729</v>
      </c>
      <c r="F28" s="1">
        <f t="shared" si="2"/>
        <v>6889</v>
      </c>
    </row>
    <row r="29" spans="1:11" x14ac:dyDescent="0.45">
      <c r="A29" s="10">
        <v>43466</v>
      </c>
      <c r="B29" s="1">
        <v>28</v>
      </c>
      <c r="C29" s="1">
        <v>79</v>
      </c>
      <c r="D29" s="1">
        <f t="shared" si="0"/>
        <v>2212</v>
      </c>
      <c r="E29" s="1">
        <f t="shared" si="1"/>
        <v>784</v>
      </c>
      <c r="F29" s="1">
        <f t="shared" si="2"/>
        <v>6241</v>
      </c>
    </row>
    <row r="30" spans="1:11" x14ac:dyDescent="0.45">
      <c r="A30" s="10">
        <v>43497</v>
      </c>
      <c r="B30" s="1">
        <v>29</v>
      </c>
      <c r="C30" s="1">
        <v>86</v>
      </c>
      <c r="D30" s="1">
        <f t="shared" si="0"/>
        <v>2494</v>
      </c>
      <c r="E30" s="1">
        <f t="shared" si="1"/>
        <v>841</v>
      </c>
      <c r="F30" s="1">
        <f t="shared" si="2"/>
        <v>7396</v>
      </c>
    </row>
    <row r="31" spans="1:11" x14ac:dyDescent="0.45">
      <c r="A31" s="10">
        <v>43525</v>
      </c>
      <c r="B31" s="1">
        <v>30</v>
      </c>
      <c r="C31" s="1">
        <v>78</v>
      </c>
      <c r="D31" s="1">
        <f t="shared" si="0"/>
        <v>2340</v>
      </c>
      <c r="E31" s="1">
        <f t="shared" si="1"/>
        <v>900</v>
      </c>
      <c r="F31" s="1">
        <f t="shared" si="2"/>
        <v>6084</v>
      </c>
    </row>
    <row r="32" spans="1:11" x14ac:dyDescent="0.45">
      <c r="A32" s="10">
        <v>43556</v>
      </c>
      <c r="B32" s="1">
        <v>31</v>
      </c>
      <c r="C32" s="1">
        <v>72</v>
      </c>
      <c r="D32" s="1">
        <f t="shared" si="0"/>
        <v>2232</v>
      </c>
      <c r="E32" s="1">
        <f t="shared" si="1"/>
        <v>961</v>
      </c>
      <c r="F32" s="1">
        <f t="shared" si="2"/>
        <v>5184</v>
      </c>
    </row>
    <row r="33" spans="1:6" x14ac:dyDescent="0.45">
      <c r="A33" s="10">
        <v>43586</v>
      </c>
      <c r="B33" s="1">
        <v>32</v>
      </c>
      <c r="C33" s="1">
        <v>81</v>
      </c>
      <c r="D33" s="1">
        <f t="shared" si="0"/>
        <v>2592</v>
      </c>
      <c r="E33" s="1">
        <f t="shared" si="1"/>
        <v>1024</v>
      </c>
      <c r="F33" s="1">
        <f t="shared" si="2"/>
        <v>6561</v>
      </c>
    </row>
    <row r="34" spans="1:6" x14ac:dyDescent="0.45">
      <c r="A34" s="10">
        <v>43617</v>
      </c>
      <c r="B34" s="1">
        <v>33</v>
      </c>
      <c r="C34" s="1">
        <v>80</v>
      </c>
      <c r="D34" s="1">
        <f t="shared" si="0"/>
        <v>2640</v>
      </c>
      <c r="E34" s="1">
        <f t="shared" si="1"/>
        <v>1089</v>
      </c>
      <c r="F34" s="1">
        <f t="shared" si="2"/>
        <v>6400</v>
      </c>
    </row>
    <row r="35" spans="1:6" x14ac:dyDescent="0.45">
      <c r="A35" s="10">
        <v>43647</v>
      </c>
      <c r="B35" s="1">
        <v>34</v>
      </c>
      <c r="C35" s="1">
        <v>79</v>
      </c>
      <c r="D35" s="1">
        <f t="shared" si="0"/>
        <v>2686</v>
      </c>
      <c r="E35" s="1">
        <f t="shared" si="1"/>
        <v>1156</v>
      </c>
      <c r="F35" s="1">
        <f t="shared" si="2"/>
        <v>6241</v>
      </c>
    </row>
    <row r="36" spans="1:6" x14ac:dyDescent="0.45">
      <c r="A36" s="10">
        <v>43678</v>
      </c>
      <c r="B36" s="1">
        <v>35</v>
      </c>
      <c r="C36" s="1">
        <v>79</v>
      </c>
      <c r="D36" s="1">
        <f t="shared" si="0"/>
        <v>2765</v>
      </c>
      <c r="E36" s="1">
        <f t="shared" si="1"/>
        <v>1225</v>
      </c>
      <c r="F36" s="1">
        <f t="shared" si="2"/>
        <v>6241</v>
      </c>
    </row>
    <row r="37" spans="1:6" x14ac:dyDescent="0.45">
      <c r="A37" s="10">
        <v>43709</v>
      </c>
      <c r="B37" s="1">
        <v>36</v>
      </c>
      <c r="C37" s="1">
        <v>73</v>
      </c>
      <c r="D37" s="1">
        <f t="shared" si="0"/>
        <v>2628</v>
      </c>
      <c r="E37" s="1">
        <f t="shared" si="1"/>
        <v>1296</v>
      </c>
      <c r="F37" s="1">
        <f t="shared" si="2"/>
        <v>5329</v>
      </c>
    </row>
    <row r="38" spans="1:6" x14ac:dyDescent="0.45">
      <c r="A38" s="10">
        <v>43739</v>
      </c>
      <c r="B38" s="1">
        <v>37</v>
      </c>
      <c r="C38" s="1">
        <v>74</v>
      </c>
      <c r="D38" s="1">
        <f t="shared" si="0"/>
        <v>2738</v>
      </c>
      <c r="E38" s="1">
        <f t="shared" si="1"/>
        <v>1369</v>
      </c>
      <c r="F38" s="1">
        <f t="shared" si="2"/>
        <v>5476</v>
      </c>
    </row>
    <row r="39" spans="1:6" x14ac:dyDescent="0.45">
      <c r="A39" s="10">
        <v>43770</v>
      </c>
      <c r="B39" s="1">
        <v>38</v>
      </c>
      <c r="C39" s="1">
        <v>84</v>
      </c>
      <c r="D39" s="1">
        <f t="shared" si="0"/>
        <v>3192</v>
      </c>
      <c r="E39" s="1">
        <f t="shared" si="1"/>
        <v>1444</v>
      </c>
      <c r="F39" s="1">
        <f t="shared" si="2"/>
        <v>7056</v>
      </c>
    </row>
    <row r="40" spans="1:6" x14ac:dyDescent="0.45">
      <c r="A40" s="10">
        <v>43800</v>
      </c>
      <c r="B40" s="1">
        <v>39</v>
      </c>
      <c r="C40" s="1">
        <v>81</v>
      </c>
      <c r="D40" s="1">
        <f t="shared" si="0"/>
        <v>3159</v>
      </c>
      <c r="E40" s="1">
        <f t="shared" si="1"/>
        <v>1521</v>
      </c>
      <c r="F40" s="1">
        <f t="shared" si="2"/>
        <v>6561</v>
      </c>
    </row>
    <row r="41" spans="1:6" x14ac:dyDescent="0.45">
      <c r="A41" s="10">
        <v>43831</v>
      </c>
      <c r="B41" s="1">
        <v>40</v>
      </c>
      <c r="C41" s="1">
        <v>86</v>
      </c>
      <c r="D41" s="1">
        <f t="shared" si="0"/>
        <v>3440</v>
      </c>
      <c r="E41" s="1">
        <f t="shared" si="1"/>
        <v>1600</v>
      </c>
      <c r="F41" s="1">
        <f t="shared" si="2"/>
        <v>7396</v>
      </c>
    </row>
    <row r="42" spans="1:6" x14ac:dyDescent="0.45">
      <c r="A42" s="10">
        <v>43862</v>
      </c>
      <c r="B42" s="1">
        <v>41</v>
      </c>
      <c r="C42" s="1">
        <v>80</v>
      </c>
      <c r="D42" s="1">
        <f t="shared" si="0"/>
        <v>3280</v>
      </c>
      <c r="E42" s="1">
        <f t="shared" si="1"/>
        <v>1681</v>
      </c>
      <c r="F42" s="1">
        <f t="shared" si="2"/>
        <v>6400</v>
      </c>
    </row>
    <row r="43" spans="1:6" x14ac:dyDescent="0.45">
      <c r="A43" s="10">
        <v>43891</v>
      </c>
      <c r="B43" s="1">
        <v>42</v>
      </c>
      <c r="C43" s="1">
        <v>87</v>
      </c>
      <c r="D43" s="1">
        <f t="shared" si="0"/>
        <v>3654</v>
      </c>
      <c r="E43" s="1">
        <f t="shared" si="1"/>
        <v>1764</v>
      </c>
      <c r="F43" s="1">
        <f t="shared" si="2"/>
        <v>7569</v>
      </c>
    </row>
    <row r="44" spans="1:6" x14ac:dyDescent="0.45">
      <c r="A44" s="10">
        <v>43922</v>
      </c>
      <c r="B44" s="1">
        <v>43</v>
      </c>
      <c r="C44" s="1">
        <v>77</v>
      </c>
      <c r="D44" s="1">
        <f t="shared" si="0"/>
        <v>3311</v>
      </c>
      <c r="E44" s="1">
        <f t="shared" si="1"/>
        <v>1849</v>
      </c>
      <c r="F44" s="1">
        <f t="shared" si="2"/>
        <v>5929</v>
      </c>
    </row>
    <row r="45" spans="1:6" x14ac:dyDescent="0.45">
      <c r="A45" s="10">
        <v>43952</v>
      </c>
      <c r="B45" s="1">
        <v>44</v>
      </c>
      <c r="C45" s="1">
        <v>88</v>
      </c>
      <c r="D45" s="1">
        <f t="shared" si="0"/>
        <v>3872</v>
      </c>
      <c r="E45" s="1">
        <f t="shared" si="1"/>
        <v>1936</v>
      </c>
      <c r="F45" s="1">
        <f t="shared" si="2"/>
        <v>7744</v>
      </c>
    </row>
    <row r="46" spans="1:6" x14ac:dyDescent="0.45">
      <c r="A46" s="10">
        <v>43983</v>
      </c>
      <c r="B46" s="1">
        <v>45</v>
      </c>
      <c r="C46" s="1">
        <v>71</v>
      </c>
      <c r="D46" s="1">
        <f t="shared" si="0"/>
        <v>3195</v>
      </c>
      <c r="E46" s="1">
        <f t="shared" si="1"/>
        <v>2025</v>
      </c>
      <c r="F46" s="1">
        <f t="shared" si="2"/>
        <v>5041</v>
      </c>
    </row>
    <row r="47" spans="1:6" x14ac:dyDescent="0.45">
      <c r="A47" s="10">
        <v>44013</v>
      </c>
      <c r="B47" s="1">
        <v>46</v>
      </c>
      <c r="C47" s="1">
        <v>86</v>
      </c>
      <c r="D47" s="1">
        <f t="shared" si="0"/>
        <v>3956</v>
      </c>
      <c r="E47" s="1">
        <f t="shared" si="1"/>
        <v>2116</v>
      </c>
      <c r="F47" s="1">
        <f t="shared" si="2"/>
        <v>7396</v>
      </c>
    </row>
    <row r="48" spans="1:6" x14ac:dyDescent="0.45">
      <c r="A48" s="10">
        <v>44044</v>
      </c>
      <c r="B48" s="1">
        <v>47</v>
      </c>
      <c r="C48" s="1">
        <v>83</v>
      </c>
      <c r="D48" s="1">
        <f t="shared" si="0"/>
        <v>3901</v>
      </c>
      <c r="E48" s="1">
        <f t="shared" si="1"/>
        <v>2209</v>
      </c>
      <c r="F48" s="1">
        <f t="shared" si="2"/>
        <v>6889</v>
      </c>
    </row>
    <row r="49" spans="1:6" x14ac:dyDescent="0.45">
      <c r="A49" s="10">
        <v>44075</v>
      </c>
      <c r="B49" s="1">
        <v>48</v>
      </c>
      <c r="C49" s="1">
        <v>82</v>
      </c>
      <c r="D49" s="1">
        <f t="shared" si="0"/>
        <v>3936</v>
      </c>
      <c r="E49" s="1">
        <f t="shared" si="1"/>
        <v>2304</v>
      </c>
      <c r="F49" s="1">
        <f t="shared" si="2"/>
        <v>6724</v>
      </c>
    </row>
    <row r="50" spans="1:6" x14ac:dyDescent="0.45">
      <c r="A50" s="10">
        <v>44105</v>
      </c>
      <c r="B50" s="1">
        <v>49</v>
      </c>
      <c r="C50" s="1">
        <v>76</v>
      </c>
      <c r="D50" s="1">
        <f t="shared" si="0"/>
        <v>3724</v>
      </c>
      <c r="E50" s="1">
        <f t="shared" si="1"/>
        <v>2401</v>
      </c>
      <c r="F50" s="1">
        <f t="shared" si="2"/>
        <v>5776</v>
      </c>
    </row>
    <row r="51" spans="1:6" x14ac:dyDescent="0.45">
      <c r="A51" s="12">
        <v>44136</v>
      </c>
      <c r="B51" s="18">
        <v>50</v>
      </c>
      <c r="C51" s="32" t="s">
        <v>17</v>
      </c>
      <c r="D51" s="33"/>
      <c r="E51" s="33"/>
      <c r="F51" s="34"/>
    </row>
    <row r="52" spans="1:6" x14ac:dyDescent="0.45">
      <c r="A52" s="15" t="s">
        <v>16</v>
      </c>
      <c r="B52" s="1">
        <f>SUM(B2:B50)</f>
        <v>1225</v>
      </c>
      <c r="C52" s="1">
        <f>SUM(C2:C50)</f>
        <v>3920</v>
      </c>
      <c r="D52" s="1">
        <f>SUM(D2:D50)</f>
        <v>98060</v>
      </c>
      <c r="E52" s="1">
        <f>SUM(E2:E50)</f>
        <v>40425</v>
      </c>
      <c r="F52" s="1">
        <f>SUM(F2:F50)</f>
        <v>315064</v>
      </c>
    </row>
  </sheetData>
  <mergeCells count="10">
    <mergeCell ref="C51:F51"/>
    <mergeCell ref="M11:M12"/>
    <mergeCell ref="H14:H15"/>
    <mergeCell ref="J14:J15"/>
    <mergeCell ref="L14:L15"/>
    <mergeCell ref="M14:M15"/>
    <mergeCell ref="G17:H17"/>
    <mergeCell ref="H11:H12"/>
    <mergeCell ref="J11:J12"/>
    <mergeCell ref="L11:L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A764-6EC3-4391-A06F-E9626FDB1F26}">
  <dimension ref="A1:P52"/>
  <sheetViews>
    <sheetView showGridLines="0" zoomScale="111" zoomScaleNormal="100" workbookViewId="0">
      <pane ySplit="1" topLeftCell="A44" activePane="bottomLeft" state="frozen"/>
      <selection pane="bottomLeft" activeCell="C56" sqref="C56"/>
    </sheetView>
  </sheetViews>
  <sheetFormatPr defaultRowHeight="14.25" x14ac:dyDescent="0.45"/>
  <cols>
    <col min="1" max="1" width="11.9296875" customWidth="1"/>
    <col min="2" max="2" width="25.86328125" customWidth="1"/>
    <col min="3" max="3" width="22.265625" customWidth="1"/>
    <col min="6" max="7" width="9.06640625" customWidth="1"/>
    <col min="10" max="10" width="24.19921875" customWidth="1"/>
    <col min="12" max="12" width="23.1328125" customWidth="1"/>
    <col min="13" max="13" width="9.06640625" customWidth="1"/>
    <col min="14" max="14" width="15.86328125" customWidth="1"/>
    <col min="15" max="15" width="9.06640625" customWidth="1"/>
    <col min="16" max="16" width="13.1328125" bestFit="1" customWidth="1"/>
  </cols>
  <sheetData>
    <row r="1" spans="1:16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7"/>
    </row>
    <row r="2" spans="1:16" x14ac:dyDescent="0.45">
      <c r="A2" s="10">
        <v>42644</v>
      </c>
      <c r="B2" s="1">
        <v>1</v>
      </c>
      <c r="C2" s="1">
        <v>77</v>
      </c>
      <c r="D2" s="11">
        <f>B2*C2</f>
        <v>77</v>
      </c>
      <c r="E2" s="11">
        <f>B2^2</f>
        <v>1</v>
      </c>
      <c r="F2" s="11">
        <f>C2^2</f>
        <v>5929</v>
      </c>
    </row>
    <row r="3" spans="1:16" x14ac:dyDescent="0.45">
      <c r="A3" s="10">
        <v>42675</v>
      </c>
      <c r="B3" s="1">
        <v>2</v>
      </c>
      <c r="C3" s="1">
        <v>76</v>
      </c>
      <c r="D3" s="11">
        <f>B3*C3</f>
        <v>152</v>
      </c>
      <c r="E3" s="11">
        <f>B3^2</f>
        <v>4</v>
      </c>
      <c r="F3" s="11">
        <f>C3^2</f>
        <v>5776</v>
      </c>
    </row>
    <row r="4" spans="1:16" x14ac:dyDescent="0.45">
      <c r="A4" s="10">
        <v>42705</v>
      </c>
      <c r="B4" s="1">
        <v>3</v>
      </c>
      <c r="C4" s="1">
        <v>86</v>
      </c>
      <c r="D4" s="11">
        <f>B4*C4</f>
        <v>258</v>
      </c>
      <c r="E4" s="11">
        <f>B4^2</f>
        <v>9</v>
      </c>
      <c r="F4" s="11">
        <f t="shared" ref="F4:F51" si="0">C4^2</f>
        <v>7396</v>
      </c>
    </row>
    <row r="5" spans="1:16" x14ac:dyDescent="0.45">
      <c r="A5" s="10">
        <v>42736</v>
      </c>
      <c r="B5" s="1">
        <v>4</v>
      </c>
      <c r="C5" s="1">
        <v>83</v>
      </c>
      <c r="D5" s="11">
        <f t="shared" ref="D5:D51" si="1">B5*C5</f>
        <v>332</v>
      </c>
      <c r="E5" s="11">
        <f>B5^2</f>
        <v>16</v>
      </c>
      <c r="F5" s="11">
        <f t="shared" si="0"/>
        <v>6889</v>
      </c>
    </row>
    <row r="6" spans="1:16" x14ac:dyDescent="0.45">
      <c r="A6" s="10">
        <v>42767</v>
      </c>
      <c r="B6" s="1">
        <v>5</v>
      </c>
      <c r="C6" s="1">
        <v>82</v>
      </c>
      <c r="D6" s="11">
        <f t="shared" si="1"/>
        <v>410</v>
      </c>
      <c r="E6" s="11">
        <f>B6^2</f>
        <v>25</v>
      </c>
      <c r="F6" s="11">
        <f t="shared" si="0"/>
        <v>6724</v>
      </c>
    </row>
    <row r="7" spans="1:16" x14ac:dyDescent="0.45">
      <c r="A7" s="10">
        <v>42795</v>
      </c>
      <c r="B7" s="1">
        <v>6</v>
      </c>
      <c r="C7" s="1">
        <v>85</v>
      </c>
      <c r="D7" s="11">
        <f t="shared" si="1"/>
        <v>510</v>
      </c>
      <c r="E7" s="11">
        <f t="shared" ref="E7:E51" si="2">B7^2</f>
        <v>36</v>
      </c>
      <c r="F7" s="11">
        <f t="shared" si="0"/>
        <v>7225</v>
      </c>
    </row>
    <row r="8" spans="1:16" x14ac:dyDescent="0.45">
      <c r="A8" s="10">
        <v>42826</v>
      </c>
      <c r="B8" s="1">
        <v>7</v>
      </c>
      <c r="C8" s="1">
        <v>85</v>
      </c>
      <c r="D8" s="11">
        <f t="shared" si="1"/>
        <v>595</v>
      </c>
      <c r="E8" s="11">
        <f t="shared" si="2"/>
        <v>49</v>
      </c>
      <c r="F8" s="11">
        <f t="shared" si="0"/>
        <v>7225</v>
      </c>
    </row>
    <row r="9" spans="1:16" x14ac:dyDescent="0.45">
      <c r="A9" s="10">
        <v>42856</v>
      </c>
      <c r="B9" s="1">
        <v>8</v>
      </c>
      <c r="C9" s="1">
        <v>89</v>
      </c>
      <c r="D9" s="11">
        <f t="shared" si="1"/>
        <v>712</v>
      </c>
      <c r="E9" s="11">
        <f t="shared" si="2"/>
        <v>64</v>
      </c>
      <c r="F9" s="11">
        <f t="shared" si="0"/>
        <v>7921</v>
      </c>
    </row>
    <row r="10" spans="1:16" x14ac:dyDescent="0.45">
      <c r="A10" s="10">
        <v>42887</v>
      </c>
      <c r="B10" s="1">
        <v>9</v>
      </c>
      <c r="C10" s="1">
        <v>69</v>
      </c>
      <c r="D10" s="11">
        <f t="shared" si="1"/>
        <v>621</v>
      </c>
      <c r="E10" s="11">
        <f t="shared" si="2"/>
        <v>81</v>
      </c>
      <c r="F10" s="11">
        <f t="shared" si="0"/>
        <v>4761</v>
      </c>
    </row>
    <row r="11" spans="1:16" ht="14.65" thickBot="1" x14ac:dyDescent="0.5">
      <c r="A11" s="10">
        <v>42917</v>
      </c>
      <c r="B11" s="1">
        <v>10</v>
      </c>
      <c r="C11" s="1">
        <v>70</v>
      </c>
      <c r="D11" s="11">
        <f t="shared" si="1"/>
        <v>700</v>
      </c>
      <c r="E11" s="11">
        <f t="shared" si="2"/>
        <v>100</v>
      </c>
      <c r="F11" s="11">
        <f t="shared" si="0"/>
        <v>4900</v>
      </c>
      <c r="I11" s="28" t="s">
        <v>6</v>
      </c>
      <c r="J11" s="5" t="s">
        <v>7</v>
      </c>
      <c r="K11" s="28" t="s">
        <v>13</v>
      </c>
      <c r="L11" s="7">
        <f>((B50*D52)-(B52*C52))</f>
        <v>101430</v>
      </c>
      <c r="M11" s="28" t="s">
        <v>13</v>
      </c>
      <c r="N11" s="30">
        <f>L11/L12</f>
        <v>0.21122448979591837</v>
      </c>
      <c r="P11" t="s">
        <v>27</v>
      </c>
    </row>
    <row r="12" spans="1:16" ht="14.65" thickTop="1" x14ac:dyDescent="0.45">
      <c r="A12" s="10">
        <v>42948</v>
      </c>
      <c r="B12" s="1">
        <v>11</v>
      </c>
      <c r="C12" s="1">
        <v>88</v>
      </c>
      <c r="D12" s="11">
        <f t="shared" si="1"/>
        <v>968</v>
      </c>
      <c r="E12" s="11">
        <f t="shared" si="2"/>
        <v>121</v>
      </c>
      <c r="F12" s="11">
        <f t="shared" si="0"/>
        <v>7744</v>
      </c>
      <c r="I12" s="28"/>
      <c r="J12" s="6" t="s">
        <v>8</v>
      </c>
      <c r="K12" s="28"/>
      <c r="L12" s="3">
        <f>(B50*E52)-B52*B52</f>
        <v>480200</v>
      </c>
      <c r="M12" s="28"/>
      <c r="N12" s="30"/>
      <c r="P12" t="s">
        <v>28</v>
      </c>
    </row>
    <row r="13" spans="1:16" x14ac:dyDescent="0.45">
      <c r="A13" s="10">
        <v>42979</v>
      </c>
      <c r="B13" s="1">
        <v>12</v>
      </c>
      <c r="C13" s="1">
        <v>83</v>
      </c>
      <c r="D13" s="11">
        <f t="shared" si="1"/>
        <v>996</v>
      </c>
      <c r="E13" s="11">
        <f t="shared" si="2"/>
        <v>144</v>
      </c>
      <c r="F13" s="11">
        <f t="shared" si="0"/>
        <v>6889</v>
      </c>
    </row>
    <row r="14" spans="1:16" ht="14.65" thickBot="1" x14ac:dyDescent="0.5">
      <c r="A14" s="10">
        <v>43009</v>
      </c>
      <c r="B14" s="1">
        <v>13</v>
      </c>
      <c r="C14" s="1">
        <v>71</v>
      </c>
      <c r="D14" s="11">
        <f t="shared" si="1"/>
        <v>923</v>
      </c>
      <c r="E14" s="11">
        <f t="shared" si="2"/>
        <v>169</v>
      </c>
      <c r="F14" s="11">
        <f t="shared" si="0"/>
        <v>5041</v>
      </c>
      <c r="I14" s="28" t="s">
        <v>9</v>
      </c>
      <c r="J14" s="5" t="s">
        <v>10</v>
      </c>
      <c r="K14" s="28" t="s">
        <v>13</v>
      </c>
      <c r="L14" s="8">
        <f>(C52-(N11*B52))</f>
        <v>3743.25</v>
      </c>
      <c r="M14" s="28" t="s">
        <v>13</v>
      </c>
      <c r="N14" s="31">
        <f>L14/L15</f>
        <v>76.392857142857139</v>
      </c>
      <c r="P14" s="27" t="s">
        <v>29</v>
      </c>
    </row>
    <row r="15" spans="1:16" ht="14.65" thickTop="1" x14ac:dyDescent="0.45">
      <c r="A15" s="10">
        <v>43040</v>
      </c>
      <c r="B15" s="1">
        <v>14</v>
      </c>
      <c r="C15" s="1">
        <v>73</v>
      </c>
      <c r="D15" s="11">
        <f t="shared" si="1"/>
        <v>1022</v>
      </c>
      <c r="E15" s="11">
        <f t="shared" si="2"/>
        <v>196</v>
      </c>
      <c r="F15" s="11">
        <f t="shared" si="0"/>
        <v>5329</v>
      </c>
      <c r="I15" s="28"/>
      <c r="J15" s="6" t="s">
        <v>11</v>
      </c>
      <c r="K15" s="28"/>
      <c r="L15" s="4">
        <v>49</v>
      </c>
      <c r="M15" s="28"/>
      <c r="N15" s="31"/>
    </row>
    <row r="16" spans="1:16" x14ac:dyDescent="0.45">
      <c r="A16" s="10">
        <v>43070</v>
      </c>
      <c r="B16" s="1">
        <v>15</v>
      </c>
      <c r="C16" s="1">
        <v>72</v>
      </c>
      <c r="D16" s="11">
        <f t="shared" si="1"/>
        <v>1080</v>
      </c>
      <c r="E16" s="11">
        <f t="shared" si="2"/>
        <v>225</v>
      </c>
      <c r="F16" s="11">
        <f t="shared" si="0"/>
        <v>5184</v>
      </c>
    </row>
    <row r="17" spans="1:14" x14ac:dyDescent="0.45">
      <c r="A17" s="10">
        <v>43101</v>
      </c>
      <c r="B17" s="1">
        <v>16</v>
      </c>
      <c r="C17" s="1">
        <v>87</v>
      </c>
      <c r="D17" s="11">
        <f t="shared" si="1"/>
        <v>1392</v>
      </c>
      <c r="E17" s="11">
        <f t="shared" si="2"/>
        <v>256</v>
      </c>
      <c r="F17" s="11">
        <f t="shared" si="0"/>
        <v>7569</v>
      </c>
      <c r="G17" s="16"/>
      <c r="H17" s="28" t="s">
        <v>15</v>
      </c>
      <c r="I17" s="28"/>
      <c r="J17" s="2" t="s">
        <v>12</v>
      </c>
      <c r="K17" s="4" t="s">
        <v>19</v>
      </c>
      <c r="L17" t="s">
        <v>26</v>
      </c>
    </row>
    <row r="18" spans="1:14" x14ac:dyDescent="0.45">
      <c r="A18" s="10">
        <v>43132</v>
      </c>
      <c r="B18" s="1">
        <v>17</v>
      </c>
      <c r="C18" s="1">
        <v>90</v>
      </c>
      <c r="D18" s="11">
        <f t="shared" si="1"/>
        <v>1530</v>
      </c>
      <c r="E18" s="11">
        <f t="shared" si="2"/>
        <v>289</v>
      </c>
      <c r="F18" s="11">
        <f t="shared" si="0"/>
        <v>8100</v>
      </c>
    </row>
    <row r="19" spans="1:14" x14ac:dyDescent="0.45">
      <c r="A19" s="10">
        <v>43160</v>
      </c>
      <c r="B19" s="1">
        <v>18</v>
      </c>
      <c r="C19" s="1">
        <v>76</v>
      </c>
      <c r="D19" s="11">
        <f t="shared" si="1"/>
        <v>1368</v>
      </c>
      <c r="E19" s="11">
        <f t="shared" si="2"/>
        <v>324</v>
      </c>
      <c r="F19" s="11">
        <f t="shared" si="0"/>
        <v>5776</v>
      </c>
      <c r="L19" t="s">
        <v>14</v>
      </c>
    </row>
    <row r="20" spans="1:14" x14ac:dyDescent="0.45">
      <c r="A20" s="10">
        <v>43191</v>
      </c>
      <c r="B20" s="1">
        <v>19</v>
      </c>
      <c r="C20" s="1">
        <v>77</v>
      </c>
      <c r="D20" s="11">
        <f t="shared" si="1"/>
        <v>1463</v>
      </c>
      <c r="E20" s="11">
        <f t="shared" si="2"/>
        <v>361</v>
      </c>
      <c r="F20" s="11">
        <f t="shared" si="0"/>
        <v>5929</v>
      </c>
      <c r="L20" s="14">
        <f>N14+N11*B51</f>
        <v>86.954081632653057</v>
      </c>
      <c r="M20" t="s">
        <v>18</v>
      </c>
    </row>
    <row r="21" spans="1:14" x14ac:dyDescent="0.45">
      <c r="A21" s="10">
        <v>43221</v>
      </c>
      <c r="B21" s="1">
        <v>20</v>
      </c>
      <c r="C21" s="1">
        <v>82</v>
      </c>
      <c r="D21" s="11">
        <f t="shared" si="1"/>
        <v>1640</v>
      </c>
      <c r="E21" s="11">
        <f t="shared" si="2"/>
        <v>400</v>
      </c>
      <c r="F21" s="11">
        <f t="shared" si="0"/>
        <v>6724</v>
      </c>
    </row>
    <row r="22" spans="1:14" x14ac:dyDescent="0.45">
      <c r="A22" s="10">
        <v>43252</v>
      </c>
      <c r="B22" s="1">
        <v>21</v>
      </c>
      <c r="C22" s="1">
        <v>83</v>
      </c>
      <c r="D22" s="11">
        <f t="shared" si="1"/>
        <v>1743</v>
      </c>
      <c r="E22" s="11">
        <f t="shared" si="2"/>
        <v>441</v>
      </c>
      <c r="F22" s="11">
        <f t="shared" si="0"/>
        <v>6889</v>
      </c>
    </row>
    <row r="23" spans="1:14" x14ac:dyDescent="0.45">
      <c r="A23" s="10">
        <v>43282</v>
      </c>
      <c r="B23" s="1">
        <v>22</v>
      </c>
      <c r="C23" s="1">
        <v>79</v>
      </c>
      <c r="D23" s="11">
        <f t="shared" si="1"/>
        <v>1738</v>
      </c>
      <c r="E23" s="11">
        <f t="shared" si="2"/>
        <v>484</v>
      </c>
      <c r="F23" s="11">
        <f t="shared" si="0"/>
        <v>6241</v>
      </c>
    </row>
    <row r="24" spans="1:14" x14ac:dyDescent="0.45">
      <c r="A24" s="10">
        <v>43313</v>
      </c>
      <c r="B24" s="1">
        <v>23</v>
      </c>
      <c r="C24" s="1">
        <v>75</v>
      </c>
      <c r="D24" s="11">
        <f t="shared" si="1"/>
        <v>1725</v>
      </c>
      <c r="E24" s="11">
        <f t="shared" si="2"/>
        <v>529</v>
      </c>
      <c r="F24" s="11">
        <f t="shared" si="0"/>
        <v>5625</v>
      </c>
    </row>
    <row r="25" spans="1:14" x14ac:dyDescent="0.45">
      <c r="A25" s="10">
        <v>43344</v>
      </c>
      <c r="B25" s="1">
        <v>24</v>
      </c>
      <c r="C25" s="1">
        <v>83</v>
      </c>
      <c r="D25" s="11">
        <f t="shared" si="1"/>
        <v>1992</v>
      </c>
      <c r="E25" s="11">
        <f t="shared" si="2"/>
        <v>576</v>
      </c>
      <c r="F25" s="11">
        <f t="shared" si="0"/>
        <v>6889</v>
      </c>
    </row>
    <row r="26" spans="1:14" ht="14.65" thickBot="1" x14ac:dyDescent="0.5">
      <c r="A26" s="10">
        <v>43374</v>
      </c>
      <c r="B26" s="1">
        <v>25</v>
      </c>
      <c r="C26" s="1">
        <v>79</v>
      </c>
      <c r="D26" s="11">
        <f t="shared" si="1"/>
        <v>1975</v>
      </c>
      <c r="E26" s="11">
        <f t="shared" si="2"/>
        <v>625</v>
      </c>
      <c r="F26" s="11">
        <f t="shared" si="0"/>
        <v>6241</v>
      </c>
      <c r="I26" s="28" t="s">
        <v>6</v>
      </c>
      <c r="J26" s="5" t="s">
        <v>7</v>
      </c>
      <c r="K26" s="28" t="s">
        <v>13</v>
      </c>
      <c r="L26" s="7">
        <f>((49*D52)-(B52*C52))</f>
        <v>101430</v>
      </c>
      <c r="M26" s="28" t="s">
        <v>13</v>
      </c>
      <c r="N26" s="30">
        <f>L26/L27</f>
        <v>0.21122448979591837</v>
      </c>
    </row>
    <row r="27" spans="1:14" ht="14.65" thickTop="1" x14ac:dyDescent="0.45">
      <c r="A27" s="10">
        <v>43405</v>
      </c>
      <c r="B27" s="1">
        <v>26</v>
      </c>
      <c r="C27" s="1">
        <v>75</v>
      </c>
      <c r="D27" s="11">
        <f t="shared" si="1"/>
        <v>1950</v>
      </c>
      <c r="E27" s="11">
        <f t="shared" si="2"/>
        <v>676</v>
      </c>
      <c r="F27" s="11">
        <f t="shared" si="0"/>
        <v>5625</v>
      </c>
      <c r="I27" s="28"/>
      <c r="J27" s="6" t="s">
        <v>8</v>
      </c>
      <c r="K27" s="28"/>
      <c r="L27" s="3">
        <f>(49*E52)-B52*B52</f>
        <v>480200</v>
      </c>
      <c r="M27" s="28"/>
      <c r="N27" s="30"/>
    </row>
    <row r="28" spans="1:14" x14ac:dyDescent="0.45">
      <c r="A28" s="10">
        <v>43435</v>
      </c>
      <c r="B28" s="1">
        <v>27</v>
      </c>
      <c r="C28" s="1">
        <v>83</v>
      </c>
      <c r="D28" s="11">
        <f t="shared" si="1"/>
        <v>2241</v>
      </c>
      <c r="E28" s="11">
        <f t="shared" si="2"/>
        <v>729</v>
      </c>
      <c r="F28" s="11">
        <f t="shared" si="0"/>
        <v>6889</v>
      </c>
    </row>
    <row r="29" spans="1:14" ht="14.65" thickBot="1" x14ac:dyDescent="0.5">
      <c r="A29" s="10">
        <v>43466</v>
      </c>
      <c r="B29" s="1">
        <v>28</v>
      </c>
      <c r="C29" s="1">
        <v>79</v>
      </c>
      <c r="D29" s="11">
        <f t="shared" si="1"/>
        <v>2212</v>
      </c>
      <c r="E29" s="11">
        <f t="shared" si="2"/>
        <v>784</v>
      </c>
      <c r="F29" s="11">
        <f t="shared" si="0"/>
        <v>6241</v>
      </c>
      <c r="I29" s="28" t="s">
        <v>9</v>
      </c>
      <c r="J29" s="5" t="s">
        <v>10</v>
      </c>
      <c r="K29" s="28" t="s">
        <v>13</v>
      </c>
      <c r="L29" s="8">
        <f>(C52)-N26*(B52)</f>
        <v>3743.25</v>
      </c>
      <c r="M29" s="28" t="s">
        <v>13</v>
      </c>
      <c r="N29" s="31">
        <f>(L29/L30)</f>
        <v>76.392857142857139</v>
      </c>
    </row>
    <row r="30" spans="1:14" ht="14.65" thickTop="1" x14ac:dyDescent="0.45">
      <c r="A30" s="10">
        <v>43497</v>
      </c>
      <c r="B30" s="1">
        <v>29</v>
      </c>
      <c r="C30" s="1">
        <v>86</v>
      </c>
      <c r="D30" s="11">
        <f t="shared" si="1"/>
        <v>2494</v>
      </c>
      <c r="E30" s="11">
        <f t="shared" si="2"/>
        <v>841</v>
      </c>
      <c r="F30" s="11">
        <f t="shared" si="0"/>
        <v>7396</v>
      </c>
      <c r="I30" s="28"/>
      <c r="J30" s="6" t="s">
        <v>11</v>
      </c>
      <c r="K30" s="28"/>
      <c r="L30" s="4">
        <v>49</v>
      </c>
      <c r="M30" s="28"/>
      <c r="N30" s="31"/>
    </row>
    <row r="31" spans="1:14" x14ac:dyDescent="0.45">
      <c r="A31" s="10">
        <v>43525</v>
      </c>
      <c r="B31" s="1">
        <v>30</v>
      </c>
      <c r="C31" s="1">
        <v>80</v>
      </c>
      <c r="D31" s="11">
        <f t="shared" si="1"/>
        <v>2400</v>
      </c>
      <c r="E31" s="11">
        <f t="shared" si="2"/>
        <v>900</v>
      </c>
      <c r="F31" s="11">
        <f t="shared" si="0"/>
        <v>6400</v>
      </c>
    </row>
    <row r="32" spans="1:14" x14ac:dyDescent="0.45">
      <c r="A32" s="10">
        <v>43556</v>
      </c>
      <c r="B32" s="1">
        <v>31</v>
      </c>
      <c r="C32" s="1">
        <v>72</v>
      </c>
      <c r="D32" s="11">
        <f t="shared" si="1"/>
        <v>2232</v>
      </c>
      <c r="E32" s="11">
        <f t="shared" si="2"/>
        <v>961</v>
      </c>
      <c r="F32" s="11">
        <f t="shared" si="0"/>
        <v>5184</v>
      </c>
      <c r="H32" s="28" t="s">
        <v>15</v>
      </c>
      <c r="I32" s="28"/>
      <c r="J32" s="2" t="s">
        <v>12</v>
      </c>
      <c r="K32" s="4" t="s">
        <v>19</v>
      </c>
      <c r="L32" s="36">
        <f>N29+(N26*B51)</f>
        <v>86.954081632653057</v>
      </c>
    </row>
    <row r="33" spans="1:6" x14ac:dyDescent="0.45">
      <c r="A33" s="10">
        <v>43586</v>
      </c>
      <c r="B33" s="1">
        <v>32</v>
      </c>
      <c r="C33" s="1">
        <v>81</v>
      </c>
      <c r="D33" s="11">
        <f t="shared" si="1"/>
        <v>2592</v>
      </c>
      <c r="E33" s="11">
        <f t="shared" si="2"/>
        <v>1024</v>
      </c>
      <c r="F33" s="11">
        <f t="shared" si="0"/>
        <v>6561</v>
      </c>
    </row>
    <row r="34" spans="1:6" x14ac:dyDescent="0.45">
      <c r="A34" s="10">
        <v>43617</v>
      </c>
      <c r="B34" s="1">
        <v>33</v>
      </c>
      <c r="C34" s="1">
        <v>80</v>
      </c>
      <c r="D34" s="11">
        <f t="shared" si="1"/>
        <v>2640</v>
      </c>
      <c r="E34" s="11">
        <f t="shared" si="2"/>
        <v>1089</v>
      </c>
      <c r="F34" s="11">
        <f t="shared" si="0"/>
        <v>6400</v>
      </c>
    </row>
    <row r="35" spans="1:6" x14ac:dyDescent="0.45">
      <c r="A35" s="10">
        <v>43647</v>
      </c>
      <c r="B35" s="1">
        <v>34</v>
      </c>
      <c r="C35" s="1">
        <v>79</v>
      </c>
      <c r="D35" s="11">
        <f t="shared" si="1"/>
        <v>2686</v>
      </c>
      <c r="E35" s="11">
        <f t="shared" si="2"/>
        <v>1156</v>
      </c>
      <c r="F35" s="11">
        <f t="shared" si="0"/>
        <v>6241</v>
      </c>
    </row>
    <row r="36" spans="1:6" x14ac:dyDescent="0.45">
      <c r="A36" s="10">
        <v>43678</v>
      </c>
      <c r="B36" s="1">
        <v>35</v>
      </c>
      <c r="C36" s="1">
        <v>79</v>
      </c>
      <c r="D36" s="11">
        <f t="shared" si="1"/>
        <v>2765</v>
      </c>
      <c r="E36" s="11">
        <f t="shared" si="2"/>
        <v>1225</v>
      </c>
      <c r="F36" s="11">
        <f t="shared" si="0"/>
        <v>6241</v>
      </c>
    </row>
    <row r="37" spans="1:6" x14ac:dyDescent="0.45">
      <c r="A37" s="10">
        <v>43709</v>
      </c>
      <c r="B37" s="1">
        <v>36</v>
      </c>
      <c r="C37" s="1">
        <v>73</v>
      </c>
      <c r="D37" s="11">
        <f t="shared" si="1"/>
        <v>2628</v>
      </c>
      <c r="E37" s="11">
        <f t="shared" si="2"/>
        <v>1296</v>
      </c>
      <c r="F37" s="11">
        <f t="shared" si="0"/>
        <v>5329</v>
      </c>
    </row>
    <row r="38" spans="1:6" x14ac:dyDescent="0.45">
      <c r="A38" s="10">
        <v>43739</v>
      </c>
      <c r="B38" s="1">
        <v>37</v>
      </c>
      <c r="C38" s="1">
        <v>74</v>
      </c>
      <c r="D38" s="11">
        <f t="shared" si="1"/>
        <v>2738</v>
      </c>
      <c r="E38" s="11">
        <f t="shared" si="2"/>
        <v>1369</v>
      </c>
      <c r="F38" s="11">
        <f t="shared" si="0"/>
        <v>5476</v>
      </c>
    </row>
    <row r="39" spans="1:6" x14ac:dyDescent="0.45">
      <c r="A39" s="10">
        <v>43770</v>
      </c>
      <c r="B39" s="1">
        <v>38</v>
      </c>
      <c r="C39" s="1">
        <v>84</v>
      </c>
      <c r="D39" s="11">
        <f t="shared" si="1"/>
        <v>3192</v>
      </c>
      <c r="E39" s="11">
        <f t="shared" si="2"/>
        <v>1444</v>
      </c>
      <c r="F39" s="11">
        <f t="shared" si="0"/>
        <v>7056</v>
      </c>
    </row>
    <row r="40" spans="1:6" x14ac:dyDescent="0.45">
      <c r="A40" s="10">
        <v>43800</v>
      </c>
      <c r="B40" s="1">
        <v>39</v>
      </c>
      <c r="C40" s="1">
        <v>81</v>
      </c>
      <c r="D40" s="11">
        <f t="shared" si="1"/>
        <v>3159</v>
      </c>
      <c r="E40" s="11">
        <f t="shared" si="2"/>
        <v>1521</v>
      </c>
      <c r="F40" s="11">
        <f t="shared" si="0"/>
        <v>6561</v>
      </c>
    </row>
    <row r="41" spans="1:6" x14ac:dyDescent="0.45">
      <c r="A41" s="10">
        <v>43831</v>
      </c>
      <c r="B41" s="1">
        <v>40</v>
      </c>
      <c r="C41" s="1">
        <v>86</v>
      </c>
      <c r="D41" s="11">
        <f t="shared" si="1"/>
        <v>3440</v>
      </c>
      <c r="E41" s="11">
        <f t="shared" si="2"/>
        <v>1600</v>
      </c>
      <c r="F41" s="11">
        <f t="shared" si="0"/>
        <v>7396</v>
      </c>
    </row>
    <row r="42" spans="1:6" x14ac:dyDescent="0.45">
      <c r="A42" s="10">
        <v>43862</v>
      </c>
      <c r="B42" s="1">
        <v>41</v>
      </c>
      <c r="C42" s="1">
        <v>80</v>
      </c>
      <c r="D42" s="11">
        <f t="shared" si="1"/>
        <v>3280</v>
      </c>
      <c r="E42" s="11">
        <f t="shared" si="2"/>
        <v>1681</v>
      </c>
      <c r="F42" s="11">
        <f t="shared" si="0"/>
        <v>6400</v>
      </c>
    </row>
    <row r="43" spans="1:6" x14ac:dyDescent="0.45">
      <c r="A43" s="10">
        <v>43891</v>
      </c>
      <c r="B43" s="1">
        <v>42</v>
      </c>
      <c r="C43" s="1">
        <v>87</v>
      </c>
      <c r="D43" s="11">
        <f t="shared" si="1"/>
        <v>3654</v>
      </c>
      <c r="E43" s="11">
        <f t="shared" si="2"/>
        <v>1764</v>
      </c>
      <c r="F43" s="11">
        <f t="shared" si="0"/>
        <v>7569</v>
      </c>
    </row>
    <row r="44" spans="1:6" x14ac:dyDescent="0.45">
      <c r="A44" s="10">
        <v>43922</v>
      </c>
      <c r="B44" s="1">
        <v>43</v>
      </c>
      <c r="C44" s="1">
        <v>77</v>
      </c>
      <c r="D44" s="11">
        <f t="shared" si="1"/>
        <v>3311</v>
      </c>
      <c r="E44" s="11">
        <f t="shared" si="2"/>
        <v>1849</v>
      </c>
      <c r="F44" s="11">
        <f t="shared" si="0"/>
        <v>5929</v>
      </c>
    </row>
    <row r="45" spans="1:6" x14ac:dyDescent="0.45">
      <c r="A45" s="10">
        <v>43952</v>
      </c>
      <c r="B45" s="1">
        <v>44</v>
      </c>
      <c r="C45" s="1">
        <v>88</v>
      </c>
      <c r="D45" s="11">
        <f t="shared" si="1"/>
        <v>3872</v>
      </c>
      <c r="E45" s="11">
        <f t="shared" si="2"/>
        <v>1936</v>
      </c>
      <c r="F45" s="11">
        <f t="shared" si="0"/>
        <v>7744</v>
      </c>
    </row>
    <row r="46" spans="1:6" x14ac:dyDescent="0.45">
      <c r="A46" s="10">
        <v>43983</v>
      </c>
      <c r="B46" s="1">
        <v>45</v>
      </c>
      <c r="C46" s="1">
        <v>71</v>
      </c>
      <c r="D46" s="11">
        <f t="shared" si="1"/>
        <v>3195</v>
      </c>
      <c r="E46" s="11">
        <f t="shared" si="2"/>
        <v>2025</v>
      </c>
      <c r="F46" s="11">
        <f t="shared" si="0"/>
        <v>5041</v>
      </c>
    </row>
    <row r="47" spans="1:6" x14ac:dyDescent="0.45">
      <c r="A47" s="10">
        <v>44013</v>
      </c>
      <c r="B47" s="1">
        <v>46</v>
      </c>
      <c r="C47" s="1">
        <v>86</v>
      </c>
      <c r="D47" s="11">
        <f t="shared" si="1"/>
        <v>3956</v>
      </c>
      <c r="E47" s="11">
        <f t="shared" si="2"/>
        <v>2116</v>
      </c>
      <c r="F47" s="11">
        <f t="shared" si="0"/>
        <v>7396</v>
      </c>
    </row>
    <row r="48" spans="1:6" x14ac:dyDescent="0.45">
      <c r="A48" s="10">
        <v>44044</v>
      </c>
      <c r="B48" s="1">
        <v>47</v>
      </c>
      <c r="C48" s="1">
        <v>83</v>
      </c>
      <c r="D48" s="11">
        <f t="shared" si="1"/>
        <v>3901</v>
      </c>
      <c r="E48" s="11">
        <f t="shared" si="2"/>
        <v>2209</v>
      </c>
      <c r="F48" s="11">
        <f t="shared" si="0"/>
        <v>6889</v>
      </c>
    </row>
    <row r="49" spans="1:6" x14ac:dyDescent="0.45">
      <c r="A49" s="10">
        <v>44075</v>
      </c>
      <c r="B49" s="1">
        <v>48</v>
      </c>
      <c r="C49" s="1">
        <v>82</v>
      </c>
      <c r="D49" s="11">
        <f t="shared" si="1"/>
        <v>3936</v>
      </c>
      <c r="E49" s="11">
        <f t="shared" si="2"/>
        <v>2304</v>
      </c>
      <c r="F49" s="11">
        <f t="shared" si="0"/>
        <v>6724</v>
      </c>
    </row>
    <row r="50" spans="1:6" x14ac:dyDescent="0.45">
      <c r="A50" s="10">
        <v>44105</v>
      </c>
      <c r="B50" s="1">
        <v>49</v>
      </c>
      <c r="C50" s="1">
        <v>76</v>
      </c>
      <c r="D50" s="11">
        <f t="shared" si="1"/>
        <v>3724</v>
      </c>
      <c r="E50" s="11">
        <f t="shared" si="2"/>
        <v>2401</v>
      </c>
      <c r="F50" s="11">
        <f t="shared" si="0"/>
        <v>5776</v>
      </c>
    </row>
    <row r="51" spans="1:6" x14ac:dyDescent="0.45">
      <c r="A51" s="12">
        <v>44136</v>
      </c>
      <c r="B51" s="13">
        <v>50</v>
      </c>
      <c r="C51" s="37">
        <v>80</v>
      </c>
      <c r="D51" s="13">
        <f t="shared" si="1"/>
        <v>4000</v>
      </c>
      <c r="E51" s="11">
        <f t="shared" si="2"/>
        <v>2500</v>
      </c>
      <c r="F51" s="13">
        <f t="shared" si="0"/>
        <v>6400</v>
      </c>
    </row>
    <row r="52" spans="1:6" x14ac:dyDescent="0.45">
      <c r="A52" s="15" t="s">
        <v>16</v>
      </c>
      <c r="B52" s="1">
        <f>SUM(B2:B50)</f>
        <v>1225</v>
      </c>
      <c r="C52" s="1">
        <f>SUM(C2:C51)</f>
        <v>4002</v>
      </c>
      <c r="D52" s="1">
        <f>SUM(D2:D51)</f>
        <v>102120</v>
      </c>
      <c r="E52" s="1">
        <f>SUM(E2:E50)</f>
        <v>40425</v>
      </c>
      <c r="F52" s="1">
        <f>SUM(F2:F51)</f>
        <v>321780</v>
      </c>
    </row>
  </sheetData>
  <mergeCells count="18">
    <mergeCell ref="H32:I32"/>
    <mergeCell ref="H17:I17"/>
    <mergeCell ref="I26:I27"/>
    <mergeCell ref="K26:K27"/>
    <mergeCell ref="M26:M27"/>
    <mergeCell ref="N26:N27"/>
    <mergeCell ref="I29:I30"/>
    <mergeCell ref="K29:K30"/>
    <mergeCell ref="M29:M30"/>
    <mergeCell ref="N29:N30"/>
    <mergeCell ref="I11:I12"/>
    <mergeCell ref="K11:K12"/>
    <mergeCell ref="M11:M12"/>
    <mergeCell ref="N11:N12"/>
    <mergeCell ref="I14:I15"/>
    <mergeCell ref="K14:K15"/>
    <mergeCell ref="M14:M15"/>
    <mergeCell ref="N14:N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2113-1587-442F-A09F-6211DD6E195D}">
  <dimension ref="A3:B9"/>
  <sheetViews>
    <sheetView workbookViewId="0">
      <selection activeCell="B14" sqref="B14"/>
    </sheetView>
  </sheetViews>
  <sheetFormatPr defaultRowHeight="14.25" x14ac:dyDescent="0.45"/>
  <cols>
    <col min="1" max="1" width="12.06640625" bestFit="1" customWidth="1"/>
    <col min="2" max="2" width="27.86328125" bestFit="1" customWidth="1"/>
  </cols>
  <sheetData>
    <row r="3" spans="1:2" x14ac:dyDescent="0.45">
      <c r="A3" s="38" t="s">
        <v>22</v>
      </c>
      <c r="B3" t="s">
        <v>23</v>
      </c>
    </row>
    <row r="4" spans="1:2" x14ac:dyDescent="0.45">
      <c r="A4" s="22">
        <v>2016</v>
      </c>
      <c r="B4" s="40">
        <v>239</v>
      </c>
    </row>
    <row r="5" spans="1:2" x14ac:dyDescent="0.45">
      <c r="A5" s="22">
        <v>2017</v>
      </c>
      <c r="B5" s="40">
        <v>950</v>
      </c>
    </row>
    <row r="6" spans="1:2" x14ac:dyDescent="0.45">
      <c r="A6" s="22">
        <v>2018</v>
      </c>
      <c r="B6" s="40">
        <v>969</v>
      </c>
    </row>
    <row r="7" spans="1:2" x14ac:dyDescent="0.45">
      <c r="A7" s="22">
        <v>2019</v>
      </c>
      <c r="B7" s="40">
        <v>946</v>
      </c>
    </row>
    <row r="8" spans="1:2" x14ac:dyDescent="0.45">
      <c r="A8" s="22">
        <v>2020</v>
      </c>
      <c r="B8" s="40">
        <v>896</v>
      </c>
    </row>
    <row r="9" spans="1:2" x14ac:dyDescent="0.45">
      <c r="A9" s="22" t="s">
        <v>24</v>
      </c>
      <c r="B9" s="40">
        <v>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3EC8-16F7-4A04-862E-AF417D2E3F29}">
  <dimension ref="A3:B56"/>
  <sheetViews>
    <sheetView workbookViewId="0">
      <selection activeCell="A3" sqref="A3"/>
    </sheetView>
  </sheetViews>
  <sheetFormatPr defaultRowHeight="14.25" x14ac:dyDescent="0.45"/>
  <cols>
    <col min="1" max="1" width="12.06640625" bestFit="1" customWidth="1"/>
    <col min="2" max="2" width="27.86328125" bestFit="1" customWidth="1"/>
  </cols>
  <sheetData>
    <row r="3" spans="1:2" x14ac:dyDescent="0.45">
      <c r="A3" s="38" t="s">
        <v>22</v>
      </c>
      <c r="B3" t="s">
        <v>23</v>
      </c>
    </row>
    <row r="4" spans="1:2" x14ac:dyDescent="0.45">
      <c r="A4" s="22" t="s">
        <v>21</v>
      </c>
      <c r="B4" s="40">
        <v>4000</v>
      </c>
    </row>
    <row r="5" spans="1:2" x14ac:dyDescent="0.45">
      <c r="A5" s="39">
        <v>42644</v>
      </c>
      <c r="B5" s="40">
        <v>77</v>
      </c>
    </row>
    <row r="6" spans="1:2" x14ac:dyDescent="0.45">
      <c r="A6" s="39">
        <v>42675</v>
      </c>
      <c r="B6" s="40">
        <v>76</v>
      </c>
    </row>
    <row r="7" spans="1:2" x14ac:dyDescent="0.45">
      <c r="A7" s="39">
        <v>42705</v>
      </c>
      <c r="B7" s="40">
        <v>86</v>
      </c>
    </row>
    <row r="8" spans="1:2" x14ac:dyDescent="0.45">
      <c r="A8" s="39">
        <v>42736</v>
      </c>
      <c r="B8" s="40">
        <v>83</v>
      </c>
    </row>
    <row r="9" spans="1:2" x14ac:dyDescent="0.45">
      <c r="A9" s="39">
        <v>42767</v>
      </c>
      <c r="B9" s="40">
        <v>82</v>
      </c>
    </row>
    <row r="10" spans="1:2" x14ac:dyDescent="0.45">
      <c r="A10" s="39">
        <v>42795</v>
      </c>
      <c r="B10" s="40">
        <v>85</v>
      </c>
    </row>
    <row r="11" spans="1:2" x14ac:dyDescent="0.45">
      <c r="A11" s="39">
        <v>42826</v>
      </c>
      <c r="B11" s="40">
        <v>85</v>
      </c>
    </row>
    <row r="12" spans="1:2" x14ac:dyDescent="0.45">
      <c r="A12" s="39">
        <v>42856</v>
      </c>
      <c r="B12" s="40">
        <v>89</v>
      </c>
    </row>
    <row r="13" spans="1:2" x14ac:dyDescent="0.45">
      <c r="A13" s="39">
        <v>42887</v>
      </c>
      <c r="B13" s="40">
        <v>69</v>
      </c>
    </row>
    <row r="14" spans="1:2" x14ac:dyDescent="0.45">
      <c r="A14" s="39">
        <v>42917</v>
      </c>
      <c r="B14" s="40">
        <v>70</v>
      </c>
    </row>
    <row r="15" spans="1:2" x14ac:dyDescent="0.45">
      <c r="A15" s="39">
        <v>42948</v>
      </c>
      <c r="B15" s="40">
        <v>88</v>
      </c>
    </row>
    <row r="16" spans="1:2" x14ac:dyDescent="0.45">
      <c r="A16" s="39">
        <v>42979</v>
      </c>
      <c r="B16" s="40">
        <v>83</v>
      </c>
    </row>
    <row r="17" spans="1:2" x14ac:dyDescent="0.45">
      <c r="A17" s="39">
        <v>43009</v>
      </c>
      <c r="B17" s="40">
        <v>71</v>
      </c>
    </row>
    <row r="18" spans="1:2" x14ac:dyDescent="0.45">
      <c r="A18" s="39">
        <v>43040</v>
      </c>
      <c r="B18" s="40">
        <v>73</v>
      </c>
    </row>
    <row r="19" spans="1:2" x14ac:dyDescent="0.45">
      <c r="A19" s="39">
        <v>43070</v>
      </c>
      <c r="B19" s="40">
        <v>72</v>
      </c>
    </row>
    <row r="20" spans="1:2" x14ac:dyDescent="0.45">
      <c r="A20" s="39">
        <v>43101</v>
      </c>
      <c r="B20" s="40">
        <v>87</v>
      </c>
    </row>
    <row r="21" spans="1:2" x14ac:dyDescent="0.45">
      <c r="A21" s="39">
        <v>43132</v>
      </c>
      <c r="B21" s="40">
        <v>90</v>
      </c>
    </row>
    <row r="22" spans="1:2" x14ac:dyDescent="0.45">
      <c r="A22" s="39">
        <v>43160</v>
      </c>
      <c r="B22" s="40">
        <v>76</v>
      </c>
    </row>
    <row r="23" spans="1:2" x14ac:dyDescent="0.45">
      <c r="A23" s="39">
        <v>43191</v>
      </c>
      <c r="B23" s="40">
        <v>77</v>
      </c>
    </row>
    <row r="24" spans="1:2" x14ac:dyDescent="0.45">
      <c r="A24" s="39">
        <v>43221</v>
      </c>
      <c r="B24" s="40">
        <v>82</v>
      </c>
    </row>
    <row r="25" spans="1:2" x14ac:dyDescent="0.45">
      <c r="A25" s="39">
        <v>43252</v>
      </c>
      <c r="B25" s="40">
        <v>83</v>
      </c>
    </row>
    <row r="26" spans="1:2" x14ac:dyDescent="0.45">
      <c r="A26" s="39">
        <v>43282</v>
      </c>
      <c r="B26" s="40">
        <v>79</v>
      </c>
    </row>
    <row r="27" spans="1:2" x14ac:dyDescent="0.45">
      <c r="A27" s="39">
        <v>43313</v>
      </c>
      <c r="B27" s="40">
        <v>75</v>
      </c>
    </row>
    <row r="28" spans="1:2" x14ac:dyDescent="0.45">
      <c r="A28" s="39">
        <v>43344</v>
      </c>
      <c r="B28" s="40">
        <v>83</v>
      </c>
    </row>
    <row r="29" spans="1:2" x14ac:dyDescent="0.45">
      <c r="A29" s="39">
        <v>43374</v>
      </c>
      <c r="B29" s="40">
        <v>79</v>
      </c>
    </row>
    <row r="30" spans="1:2" x14ac:dyDescent="0.45">
      <c r="A30" s="39">
        <v>43405</v>
      </c>
      <c r="B30" s="40">
        <v>75</v>
      </c>
    </row>
    <row r="31" spans="1:2" x14ac:dyDescent="0.45">
      <c r="A31" s="39">
        <v>43435</v>
      </c>
      <c r="B31" s="40">
        <v>83</v>
      </c>
    </row>
    <row r="32" spans="1:2" x14ac:dyDescent="0.45">
      <c r="A32" s="39">
        <v>43466</v>
      </c>
      <c r="B32" s="40">
        <v>79</v>
      </c>
    </row>
    <row r="33" spans="1:2" x14ac:dyDescent="0.45">
      <c r="A33" s="39">
        <v>43497</v>
      </c>
      <c r="B33" s="40">
        <v>86</v>
      </c>
    </row>
    <row r="34" spans="1:2" x14ac:dyDescent="0.45">
      <c r="A34" s="39">
        <v>43525</v>
      </c>
      <c r="B34" s="40">
        <v>78</v>
      </c>
    </row>
    <row r="35" spans="1:2" x14ac:dyDescent="0.45">
      <c r="A35" s="39">
        <v>43556</v>
      </c>
      <c r="B35" s="40">
        <v>72</v>
      </c>
    </row>
    <row r="36" spans="1:2" x14ac:dyDescent="0.45">
      <c r="A36" s="39">
        <v>43586</v>
      </c>
      <c r="B36" s="40">
        <v>81</v>
      </c>
    </row>
    <row r="37" spans="1:2" x14ac:dyDescent="0.45">
      <c r="A37" s="39">
        <v>43617</v>
      </c>
      <c r="B37" s="40">
        <v>80</v>
      </c>
    </row>
    <row r="38" spans="1:2" x14ac:dyDescent="0.45">
      <c r="A38" s="39">
        <v>43647</v>
      </c>
      <c r="B38" s="40">
        <v>79</v>
      </c>
    </row>
    <row r="39" spans="1:2" x14ac:dyDescent="0.45">
      <c r="A39" s="39">
        <v>43678</v>
      </c>
      <c r="B39" s="40">
        <v>79</v>
      </c>
    </row>
    <row r="40" spans="1:2" x14ac:dyDescent="0.45">
      <c r="A40" s="39">
        <v>43709</v>
      </c>
      <c r="B40" s="40">
        <v>73</v>
      </c>
    </row>
    <row r="41" spans="1:2" x14ac:dyDescent="0.45">
      <c r="A41" s="39">
        <v>43739</v>
      </c>
      <c r="B41" s="40">
        <v>74</v>
      </c>
    </row>
    <row r="42" spans="1:2" x14ac:dyDescent="0.45">
      <c r="A42" s="39">
        <v>43770</v>
      </c>
      <c r="B42" s="40">
        <v>84</v>
      </c>
    </row>
    <row r="43" spans="1:2" x14ac:dyDescent="0.45">
      <c r="A43" s="39">
        <v>43800</v>
      </c>
      <c r="B43" s="40">
        <v>81</v>
      </c>
    </row>
    <row r="44" spans="1:2" x14ac:dyDescent="0.45">
      <c r="A44" s="39">
        <v>43831</v>
      </c>
      <c r="B44" s="40">
        <v>86</v>
      </c>
    </row>
    <row r="45" spans="1:2" x14ac:dyDescent="0.45">
      <c r="A45" s="39">
        <v>43862</v>
      </c>
      <c r="B45" s="40">
        <v>80</v>
      </c>
    </row>
    <row r="46" spans="1:2" x14ac:dyDescent="0.45">
      <c r="A46" s="39">
        <v>43891</v>
      </c>
      <c r="B46" s="40">
        <v>87</v>
      </c>
    </row>
    <row r="47" spans="1:2" x14ac:dyDescent="0.45">
      <c r="A47" s="39">
        <v>43922</v>
      </c>
      <c r="B47" s="40">
        <v>77</v>
      </c>
    </row>
    <row r="48" spans="1:2" x14ac:dyDescent="0.45">
      <c r="A48" s="39">
        <v>43952</v>
      </c>
      <c r="B48" s="40">
        <v>88</v>
      </c>
    </row>
    <row r="49" spans="1:2" x14ac:dyDescent="0.45">
      <c r="A49" s="39">
        <v>43983</v>
      </c>
      <c r="B49" s="40">
        <v>71</v>
      </c>
    </row>
    <row r="50" spans="1:2" x14ac:dyDescent="0.45">
      <c r="A50" s="39">
        <v>44013</v>
      </c>
      <c r="B50" s="40">
        <v>86</v>
      </c>
    </row>
    <row r="51" spans="1:2" x14ac:dyDescent="0.45">
      <c r="A51" s="39">
        <v>44044</v>
      </c>
      <c r="B51" s="40">
        <v>83</v>
      </c>
    </row>
    <row r="52" spans="1:2" x14ac:dyDescent="0.45">
      <c r="A52" s="39">
        <v>44075</v>
      </c>
      <c r="B52" s="40">
        <v>82</v>
      </c>
    </row>
    <row r="53" spans="1:2" x14ac:dyDescent="0.45">
      <c r="A53" s="39">
        <v>44105</v>
      </c>
      <c r="B53" s="40">
        <v>76</v>
      </c>
    </row>
    <row r="54" spans="1:2" x14ac:dyDescent="0.45">
      <c r="A54" s="39">
        <v>44136</v>
      </c>
      <c r="B54" s="40">
        <v>80</v>
      </c>
    </row>
    <row r="55" spans="1:2" x14ac:dyDescent="0.45">
      <c r="A55" s="22" t="s">
        <v>30</v>
      </c>
      <c r="B55" s="40"/>
    </row>
    <row r="56" spans="1:2" x14ac:dyDescent="0.45">
      <c r="A56" s="22" t="s">
        <v>24</v>
      </c>
      <c r="B56" s="40">
        <v>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8D48-C364-4CC2-A173-08311D7AF2CB}">
  <dimension ref="A1:O52"/>
  <sheetViews>
    <sheetView showGridLines="0" zoomScale="38" zoomScaleNormal="54" workbookViewId="0">
      <selection activeCell="P26" sqref="A1:XFD1048576"/>
    </sheetView>
  </sheetViews>
  <sheetFormatPr defaultRowHeight="14.25" x14ac:dyDescent="0.45"/>
  <cols>
    <col min="1" max="1" width="11.9296875" customWidth="1"/>
    <col min="2" max="2" width="25.86328125" customWidth="1"/>
    <col min="3" max="3" width="22.265625" customWidth="1"/>
    <col min="7" max="8" width="9.06640625" customWidth="1"/>
    <col min="11" max="11" width="24.19921875" customWidth="1"/>
    <col min="13" max="13" width="23.1328125" customWidth="1"/>
    <col min="14" max="14" width="9.06640625" customWidth="1"/>
    <col min="15" max="15" width="15.86328125" customWidth="1"/>
    <col min="16" max="16" width="9.06640625" customWidth="1"/>
  </cols>
  <sheetData>
    <row r="1" spans="1:15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20</v>
      </c>
      <c r="H1" s="17"/>
    </row>
    <row r="2" spans="1:15" x14ac:dyDescent="0.45">
      <c r="A2" s="10">
        <v>42644</v>
      </c>
      <c r="B2" s="1">
        <v>1</v>
      </c>
      <c r="C2" s="1">
        <v>77</v>
      </c>
      <c r="D2" s="11">
        <f>B2*C2</f>
        <v>77</v>
      </c>
      <c r="E2" s="11">
        <f>B2^2</f>
        <v>1</v>
      </c>
      <c r="F2" s="11">
        <f>C2^2</f>
        <v>5929</v>
      </c>
      <c r="G2" s="11" cm="1">
        <f t="array" ref="G2:G51">YEAR(A2:A51)</f>
        <v>2016</v>
      </c>
    </row>
    <row r="3" spans="1:15" x14ac:dyDescent="0.45">
      <c r="A3" s="10">
        <v>42675</v>
      </c>
      <c r="B3" s="1">
        <v>2</v>
      </c>
      <c r="C3" s="1">
        <v>76</v>
      </c>
      <c r="D3" s="11">
        <f>B3*C3</f>
        <v>152</v>
      </c>
      <c r="E3" s="11">
        <f>B3^2</f>
        <v>4</v>
      </c>
      <c r="F3" s="11">
        <f>C3^2</f>
        <v>5776</v>
      </c>
      <c r="G3" s="11">
        <v>2016</v>
      </c>
    </row>
    <row r="4" spans="1:15" x14ac:dyDescent="0.45">
      <c r="A4" s="10">
        <v>42705</v>
      </c>
      <c r="B4" s="1">
        <v>3</v>
      </c>
      <c r="C4" s="1">
        <v>86</v>
      </c>
      <c r="D4" s="11">
        <f>B4*C4</f>
        <v>258</v>
      </c>
      <c r="E4" s="11">
        <f>B4^2</f>
        <v>9</v>
      </c>
      <c r="F4" s="11">
        <f t="shared" ref="F4:F51" si="0">C4^2</f>
        <v>7396</v>
      </c>
      <c r="G4" s="11">
        <v>2016</v>
      </c>
    </row>
    <row r="5" spans="1:15" x14ac:dyDescent="0.45">
      <c r="A5" s="10">
        <v>42736</v>
      </c>
      <c r="B5" s="1">
        <v>4</v>
      </c>
      <c r="C5" s="1">
        <v>83</v>
      </c>
      <c r="D5" s="11">
        <f t="shared" ref="D5:D51" si="1">B5*C5</f>
        <v>332</v>
      </c>
      <c r="E5" s="11">
        <f>B5^2</f>
        <v>16</v>
      </c>
      <c r="F5" s="11">
        <f t="shared" si="0"/>
        <v>6889</v>
      </c>
      <c r="G5" s="11">
        <v>2017</v>
      </c>
    </row>
    <row r="6" spans="1:15" x14ac:dyDescent="0.45">
      <c r="A6" s="10">
        <v>42767</v>
      </c>
      <c r="B6" s="1">
        <v>5</v>
      </c>
      <c r="C6" s="1">
        <v>82</v>
      </c>
      <c r="D6" s="11">
        <f t="shared" si="1"/>
        <v>410</v>
      </c>
      <c r="E6" s="11">
        <f>B6^2</f>
        <v>25</v>
      </c>
      <c r="F6" s="11">
        <f t="shared" si="0"/>
        <v>6724</v>
      </c>
      <c r="G6" s="11">
        <v>2017</v>
      </c>
    </row>
    <row r="7" spans="1:15" x14ac:dyDescent="0.45">
      <c r="A7" s="10">
        <v>42795</v>
      </c>
      <c r="B7" s="1">
        <v>6</v>
      </c>
      <c r="C7" s="1">
        <v>85</v>
      </c>
      <c r="D7" s="11">
        <f t="shared" si="1"/>
        <v>510</v>
      </c>
      <c r="E7" s="11">
        <f t="shared" ref="E7:E51" si="2">B7^2</f>
        <v>36</v>
      </c>
      <c r="F7" s="11">
        <f t="shared" si="0"/>
        <v>7225</v>
      </c>
      <c r="G7" s="11">
        <v>2017</v>
      </c>
    </row>
    <row r="8" spans="1:15" x14ac:dyDescent="0.45">
      <c r="A8" s="10">
        <v>42826</v>
      </c>
      <c r="B8" s="1">
        <v>7</v>
      </c>
      <c r="C8" s="1">
        <v>85</v>
      </c>
      <c r="D8" s="11">
        <f t="shared" si="1"/>
        <v>595</v>
      </c>
      <c r="E8" s="11">
        <f t="shared" si="2"/>
        <v>49</v>
      </c>
      <c r="F8" s="11">
        <f t="shared" si="0"/>
        <v>7225</v>
      </c>
      <c r="G8" s="11">
        <v>2017</v>
      </c>
    </row>
    <row r="9" spans="1:15" x14ac:dyDescent="0.45">
      <c r="A9" s="10">
        <v>42856</v>
      </c>
      <c r="B9" s="1">
        <v>8</v>
      </c>
      <c r="C9" s="1">
        <v>89</v>
      </c>
      <c r="D9" s="11">
        <f t="shared" si="1"/>
        <v>712</v>
      </c>
      <c r="E9" s="11">
        <f t="shared" si="2"/>
        <v>64</v>
      </c>
      <c r="F9" s="11">
        <f t="shared" si="0"/>
        <v>7921</v>
      </c>
      <c r="G9" s="11">
        <v>2017</v>
      </c>
    </row>
    <row r="10" spans="1:15" x14ac:dyDescent="0.45">
      <c r="A10" s="10">
        <v>42887</v>
      </c>
      <c r="B10" s="1">
        <v>9</v>
      </c>
      <c r="C10" s="1">
        <v>69</v>
      </c>
      <c r="D10" s="11">
        <f t="shared" si="1"/>
        <v>621</v>
      </c>
      <c r="E10" s="11">
        <f t="shared" si="2"/>
        <v>81</v>
      </c>
      <c r="F10" s="11">
        <f t="shared" si="0"/>
        <v>4761</v>
      </c>
      <c r="G10" s="11">
        <v>2017</v>
      </c>
    </row>
    <row r="11" spans="1:15" x14ac:dyDescent="0.45">
      <c r="A11" s="10">
        <v>42917</v>
      </c>
      <c r="B11" s="1">
        <v>10</v>
      </c>
      <c r="C11" s="1">
        <v>70</v>
      </c>
      <c r="D11" s="11">
        <f t="shared" si="1"/>
        <v>700</v>
      </c>
      <c r="E11" s="11">
        <f t="shared" si="2"/>
        <v>100</v>
      </c>
      <c r="F11" s="11">
        <f t="shared" si="0"/>
        <v>4900</v>
      </c>
      <c r="G11" s="11">
        <v>2017</v>
      </c>
      <c r="J11" s="28"/>
      <c r="K11" s="6"/>
      <c r="L11" s="28"/>
      <c r="M11" s="3"/>
      <c r="N11" s="28"/>
      <c r="O11" s="30"/>
    </row>
    <row r="12" spans="1:15" x14ac:dyDescent="0.45">
      <c r="A12" s="10">
        <v>42948</v>
      </c>
      <c r="B12" s="1">
        <v>11</v>
      </c>
      <c r="C12" s="1">
        <v>88</v>
      </c>
      <c r="D12" s="11">
        <f t="shared" si="1"/>
        <v>968</v>
      </c>
      <c r="E12" s="11">
        <f t="shared" si="2"/>
        <v>121</v>
      </c>
      <c r="F12" s="11">
        <f t="shared" si="0"/>
        <v>7744</v>
      </c>
      <c r="G12" s="11">
        <v>2017</v>
      </c>
      <c r="J12" s="28"/>
      <c r="K12" s="6"/>
      <c r="L12" s="28"/>
      <c r="M12" s="3"/>
      <c r="N12" s="28"/>
      <c r="O12" s="30"/>
    </row>
    <row r="13" spans="1:15" x14ac:dyDescent="0.45">
      <c r="A13" s="10">
        <v>42979</v>
      </c>
      <c r="B13" s="1">
        <v>12</v>
      </c>
      <c r="C13" s="1">
        <v>83</v>
      </c>
      <c r="D13" s="11">
        <f t="shared" si="1"/>
        <v>996</v>
      </c>
      <c r="E13" s="11">
        <f t="shared" si="2"/>
        <v>144</v>
      </c>
      <c r="F13" s="11">
        <f t="shared" si="0"/>
        <v>6889</v>
      </c>
      <c r="G13" s="11">
        <v>2017</v>
      </c>
    </row>
    <row r="14" spans="1:15" x14ac:dyDescent="0.45">
      <c r="A14" s="10">
        <v>43009</v>
      </c>
      <c r="B14" s="1">
        <v>13</v>
      </c>
      <c r="C14" s="1">
        <v>71</v>
      </c>
      <c r="D14" s="11">
        <f t="shared" si="1"/>
        <v>923</v>
      </c>
      <c r="E14" s="11">
        <f t="shared" si="2"/>
        <v>169</v>
      </c>
      <c r="F14" s="11">
        <f t="shared" si="0"/>
        <v>5041</v>
      </c>
      <c r="G14" s="11">
        <v>2017</v>
      </c>
      <c r="J14" s="28"/>
      <c r="K14" s="6"/>
      <c r="L14" s="28"/>
      <c r="M14" s="4"/>
      <c r="N14" s="28"/>
      <c r="O14" s="31"/>
    </row>
    <row r="15" spans="1:15" x14ac:dyDescent="0.45">
      <c r="A15" s="10">
        <v>43040</v>
      </c>
      <c r="B15" s="1">
        <v>14</v>
      </c>
      <c r="C15" s="1">
        <v>73</v>
      </c>
      <c r="D15" s="11">
        <f t="shared" si="1"/>
        <v>1022</v>
      </c>
      <c r="E15" s="11">
        <f t="shared" si="2"/>
        <v>196</v>
      </c>
      <c r="F15" s="11">
        <f t="shared" si="0"/>
        <v>5329</v>
      </c>
      <c r="G15" s="11">
        <v>2017</v>
      </c>
      <c r="J15" s="28"/>
      <c r="K15" s="6"/>
      <c r="L15" s="28"/>
      <c r="M15" s="4"/>
      <c r="N15" s="28"/>
      <c r="O15" s="31"/>
    </row>
    <row r="16" spans="1:15" x14ac:dyDescent="0.45">
      <c r="A16" s="10">
        <v>43070</v>
      </c>
      <c r="B16" s="1">
        <v>15</v>
      </c>
      <c r="C16" s="1">
        <v>72</v>
      </c>
      <c r="D16" s="11">
        <f t="shared" si="1"/>
        <v>1080</v>
      </c>
      <c r="E16" s="11">
        <f t="shared" si="2"/>
        <v>225</v>
      </c>
      <c r="F16" s="11">
        <f t="shared" si="0"/>
        <v>5184</v>
      </c>
      <c r="G16" s="11">
        <v>2017</v>
      </c>
    </row>
    <row r="17" spans="1:13" x14ac:dyDescent="0.45">
      <c r="A17" s="10">
        <v>43101</v>
      </c>
      <c r="B17" s="1">
        <v>16</v>
      </c>
      <c r="C17" s="1">
        <v>87</v>
      </c>
      <c r="D17" s="11">
        <f t="shared" si="1"/>
        <v>1392</v>
      </c>
      <c r="E17" s="11">
        <f t="shared" si="2"/>
        <v>256</v>
      </c>
      <c r="F17" s="11">
        <f t="shared" si="0"/>
        <v>7569</v>
      </c>
      <c r="G17" s="11">
        <v>2018</v>
      </c>
      <c r="I17" s="28"/>
      <c r="J17" s="28"/>
      <c r="K17" s="2"/>
      <c r="L17" s="4"/>
    </row>
    <row r="18" spans="1:13" x14ac:dyDescent="0.45">
      <c r="A18" s="10">
        <v>43132</v>
      </c>
      <c r="B18" s="1">
        <v>17</v>
      </c>
      <c r="C18" s="1">
        <v>90</v>
      </c>
      <c r="D18" s="11">
        <f t="shared" si="1"/>
        <v>1530</v>
      </c>
      <c r="E18" s="11">
        <f t="shared" si="2"/>
        <v>289</v>
      </c>
      <c r="F18" s="11">
        <f t="shared" si="0"/>
        <v>8100</v>
      </c>
      <c r="G18" s="11">
        <v>2018</v>
      </c>
    </row>
    <row r="19" spans="1:13" x14ac:dyDescent="0.45">
      <c r="A19" s="10">
        <v>43160</v>
      </c>
      <c r="B19" s="1">
        <v>18</v>
      </c>
      <c r="C19" s="1">
        <v>76</v>
      </c>
      <c r="D19" s="11">
        <f t="shared" si="1"/>
        <v>1368</v>
      </c>
      <c r="E19" s="11">
        <f t="shared" si="2"/>
        <v>324</v>
      </c>
      <c r="F19" s="11">
        <f t="shared" si="0"/>
        <v>5776</v>
      </c>
      <c r="G19" s="11">
        <v>2018</v>
      </c>
    </row>
    <row r="20" spans="1:13" x14ac:dyDescent="0.45">
      <c r="A20" s="10">
        <v>43191</v>
      </c>
      <c r="B20" s="1">
        <v>19</v>
      </c>
      <c r="C20" s="1">
        <v>77</v>
      </c>
      <c r="D20" s="11">
        <f t="shared" si="1"/>
        <v>1463</v>
      </c>
      <c r="E20" s="11">
        <f t="shared" si="2"/>
        <v>361</v>
      </c>
      <c r="F20" s="11">
        <f t="shared" si="0"/>
        <v>5929</v>
      </c>
      <c r="G20" s="11">
        <v>2018</v>
      </c>
      <c r="M20" s="14"/>
    </row>
    <row r="21" spans="1:13" x14ac:dyDescent="0.45">
      <c r="A21" s="10">
        <v>43221</v>
      </c>
      <c r="B21" s="1">
        <v>20</v>
      </c>
      <c r="C21" s="1">
        <v>82</v>
      </c>
      <c r="D21" s="11">
        <f t="shared" si="1"/>
        <v>1640</v>
      </c>
      <c r="E21" s="11">
        <f t="shared" si="2"/>
        <v>400</v>
      </c>
      <c r="F21" s="11">
        <f t="shared" si="0"/>
        <v>6724</v>
      </c>
      <c r="G21" s="11">
        <v>2018</v>
      </c>
    </row>
    <row r="22" spans="1:13" x14ac:dyDescent="0.45">
      <c r="A22" s="10">
        <v>43252</v>
      </c>
      <c r="B22" s="1">
        <v>21</v>
      </c>
      <c r="C22" s="1">
        <v>83</v>
      </c>
      <c r="D22" s="11">
        <f t="shared" si="1"/>
        <v>1743</v>
      </c>
      <c r="E22" s="11">
        <f t="shared" si="2"/>
        <v>441</v>
      </c>
      <c r="F22" s="11">
        <f t="shared" si="0"/>
        <v>6889</v>
      </c>
      <c r="G22" s="11">
        <v>2018</v>
      </c>
    </row>
    <row r="23" spans="1:13" x14ac:dyDescent="0.45">
      <c r="A23" s="10">
        <v>43282</v>
      </c>
      <c r="B23" s="1">
        <v>22</v>
      </c>
      <c r="C23" s="1">
        <v>79</v>
      </c>
      <c r="D23" s="11">
        <f t="shared" si="1"/>
        <v>1738</v>
      </c>
      <c r="E23" s="11">
        <f t="shared" si="2"/>
        <v>484</v>
      </c>
      <c r="F23" s="11">
        <f t="shared" si="0"/>
        <v>6241</v>
      </c>
      <c r="G23" s="11">
        <v>2018</v>
      </c>
    </row>
    <row r="24" spans="1:13" x14ac:dyDescent="0.45">
      <c r="A24" s="10">
        <v>43313</v>
      </c>
      <c r="B24" s="1">
        <v>23</v>
      </c>
      <c r="C24" s="1">
        <v>75</v>
      </c>
      <c r="D24" s="11">
        <f t="shared" si="1"/>
        <v>1725</v>
      </c>
      <c r="E24" s="11">
        <f t="shared" si="2"/>
        <v>529</v>
      </c>
      <c r="F24" s="11">
        <f t="shared" si="0"/>
        <v>5625</v>
      </c>
      <c r="G24" s="11">
        <v>2018</v>
      </c>
    </row>
    <row r="25" spans="1:13" x14ac:dyDescent="0.45">
      <c r="A25" s="10">
        <v>43344</v>
      </c>
      <c r="B25" s="1">
        <v>24</v>
      </c>
      <c r="C25" s="1">
        <v>83</v>
      </c>
      <c r="D25" s="11">
        <f t="shared" si="1"/>
        <v>1992</v>
      </c>
      <c r="E25" s="11">
        <f t="shared" si="2"/>
        <v>576</v>
      </c>
      <c r="F25" s="11">
        <f t="shared" si="0"/>
        <v>6889</v>
      </c>
      <c r="G25" s="11">
        <v>2018</v>
      </c>
    </row>
    <row r="26" spans="1:13" x14ac:dyDescent="0.45">
      <c r="A26" s="10">
        <v>43374</v>
      </c>
      <c r="B26" s="1">
        <v>25</v>
      </c>
      <c r="C26" s="1">
        <v>79</v>
      </c>
      <c r="D26" s="11">
        <f t="shared" si="1"/>
        <v>1975</v>
      </c>
      <c r="E26" s="11">
        <f t="shared" si="2"/>
        <v>625</v>
      </c>
      <c r="F26" s="11">
        <f t="shared" si="0"/>
        <v>6241</v>
      </c>
      <c r="G26" s="11">
        <v>2018</v>
      </c>
    </row>
    <row r="27" spans="1:13" x14ac:dyDescent="0.45">
      <c r="A27" s="10">
        <v>43405</v>
      </c>
      <c r="B27" s="1">
        <v>26</v>
      </c>
      <c r="C27" s="1">
        <v>75</v>
      </c>
      <c r="D27" s="11">
        <f t="shared" si="1"/>
        <v>1950</v>
      </c>
      <c r="E27" s="11">
        <f t="shared" si="2"/>
        <v>676</v>
      </c>
      <c r="F27" s="11">
        <f t="shared" si="0"/>
        <v>5625</v>
      </c>
      <c r="G27" s="11">
        <v>2018</v>
      </c>
    </row>
    <row r="28" spans="1:13" x14ac:dyDescent="0.45">
      <c r="A28" s="10">
        <v>43435</v>
      </c>
      <c r="B28" s="1">
        <v>27</v>
      </c>
      <c r="C28" s="1">
        <v>83</v>
      </c>
      <c r="D28" s="11">
        <f t="shared" si="1"/>
        <v>2241</v>
      </c>
      <c r="E28" s="11">
        <f t="shared" si="2"/>
        <v>729</v>
      </c>
      <c r="F28" s="11">
        <f t="shared" si="0"/>
        <v>6889</v>
      </c>
      <c r="G28" s="11">
        <v>2018</v>
      </c>
    </row>
    <row r="29" spans="1:13" x14ac:dyDescent="0.45">
      <c r="A29" s="10">
        <v>43466</v>
      </c>
      <c r="B29" s="1">
        <v>28</v>
      </c>
      <c r="C29" s="1">
        <v>79</v>
      </c>
      <c r="D29" s="11">
        <f t="shared" si="1"/>
        <v>2212</v>
      </c>
      <c r="E29" s="11">
        <f t="shared" si="2"/>
        <v>784</v>
      </c>
      <c r="F29" s="11">
        <f t="shared" si="0"/>
        <v>6241</v>
      </c>
      <c r="G29" s="11">
        <v>2019</v>
      </c>
    </row>
    <row r="30" spans="1:13" x14ac:dyDescent="0.45">
      <c r="A30" s="10">
        <v>43497</v>
      </c>
      <c r="B30" s="1">
        <v>29</v>
      </c>
      <c r="C30" s="1">
        <v>86</v>
      </c>
      <c r="D30" s="11">
        <f t="shared" si="1"/>
        <v>2494</v>
      </c>
      <c r="E30" s="11">
        <f t="shared" si="2"/>
        <v>841</v>
      </c>
      <c r="F30" s="11">
        <f t="shared" si="0"/>
        <v>7396</v>
      </c>
      <c r="G30" s="11">
        <v>2019</v>
      </c>
    </row>
    <row r="31" spans="1:13" x14ac:dyDescent="0.45">
      <c r="A31" s="10">
        <v>43525</v>
      </c>
      <c r="B31" s="1">
        <v>30</v>
      </c>
      <c r="C31" s="1">
        <v>78</v>
      </c>
      <c r="D31" s="11">
        <f t="shared" si="1"/>
        <v>2340</v>
      </c>
      <c r="E31" s="11">
        <f t="shared" si="2"/>
        <v>900</v>
      </c>
      <c r="F31" s="11">
        <f t="shared" si="0"/>
        <v>6084</v>
      </c>
      <c r="G31" s="11">
        <v>2019</v>
      </c>
    </row>
    <row r="32" spans="1:13" x14ac:dyDescent="0.45">
      <c r="A32" s="10">
        <v>43556</v>
      </c>
      <c r="B32" s="1">
        <v>31</v>
      </c>
      <c r="C32" s="1">
        <v>72</v>
      </c>
      <c r="D32" s="11">
        <f t="shared" si="1"/>
        <v>2232</v>
      </c>
      <c r="E32" s="11">
        <f t="shared" si="2"/>
        <v>961</v>
      </c>
      <c r="F32" s="11">
        <f t="shared" si="0"/>
        <v>5184</v>
      </c>
      <c r="G32" s="11">
        <v>2019</v>
      </c>
    </row>
    <row r="33" spans="1:7" x14ac:dyDescent="0.45">
      <c r="A33" s="10">
        <v>43586</v>
      </c>
      <c r="B33" s="1">
        <v>32</v>
      </c>
      <c r="C33" s="1">
        <v>81</v>
      </c>
      <c r="D33" s="11">
        <f t="shared" si="1"/>
        <v>2592</v>
      </c>
      <c r="E33" s="11">
        <f t="shared" si="2"/>
        <v>1024</v>
      </c>
      <c r="F33" s="11">
        <f t="shared" si="0"/>
        <v>6561</v>
      </c>
      <c r="G33" s="11">
        <v>2019</v>
      </c>
    </row>
    <row r="34" spans="1:7" x14ac:dyDescent="0.45">
      <c r="A34" s="10">
        <v>43617</v>
      </c>
      <c r="B34" s="1">
        <v>33</v>
      </c>
      <c r="C34" s="1">
        <v>80</v>
      </c>
      <c r="D34" s="11">
        <f t="shared" si="1"/>
        <v>2640</v>
      </c>
      <c r="E34" s="11">
        <f t="shared" si="2"/>
        <v>1089</v>
      </c>
      <c r="F34" s="11">
        <f t="shared" si="0"/>
        <v>6400</v>
      </c>
      <c r="G34" s="11">
        <v>2019</v>
      </c>
    </row>
    <row r="35" spans="1:7" x14ac:dyDescent="0.45">
      <c r="A35" s="10">
        <v>43647</v>
      </c>
      <c r="B35" s="1">
        <v>34</v>
      </c>
      <c r="C35" s="1">
        <v>79</v>
      </c>
      <c r="D35" s="11">
        <f t="shared" si="1"/>
        <v>2686</v>
      </c>
      <c r="E35" s="11">
        <f t="shared" si="2"/>
        <v>1156</v>
      </c>
      <c r="F35" s="11">
        <f t="shared" si="0"/>
        <v>6241</v>
      </c>
      <c r="G35" s="11">
        <v>2019</v>
      </c>
    </row>
    <row r="36" spans="1:7" x14ac:dyDescent="0.45">
      <c r="A36" s="10">
        <v>43678</v>
      </c>
      <c r="B36" s="1">
        <v>35</v>
      </c>
      <c r="C36" s="1">
        <v>79</v>
      </c>
      <c r="D36" s="11">
        <f t="shared" si="1"/>
        <v>2765</v>
      </c>
      <c r="E36" s="11">
        <f t="shared" si="2"/>
        <v>1225</v>
      </c>
      <c r="F36" s="11">
        <f t="shared" si="0"/>
        <v>6241</v>
      </c>
      <c r="G36" s="11">
        <v>2019</v>
      </c>
    </row>
    <row r="37" spans="1:7" x14ac:dyDescent="0.45">
      <c r="A37" s="10">
        <v>43709</v>
      </c>
      <c r="B37" s="1">
        <v>36</v>
      </c>
      <c r="C37" s="1">
        <v>73</v>
      </c>
      <c r="D37" s="11">
        <f t="shared" si="1"/>
        <v>2628</v>
      </c>
      <c r="E37" s="11">
        <f t="shared" si="2"/>
        <v>1296</v>
      </c>
      <c r="F37" s="11">
        <f t="shared" si="0"/>
        <v>5329</v>
      </c>
      <c r="G37" s="11">
        <v>2019</v>
      </c>
    </row>
    <row r="38" spans="1:7" x14ac:dyDescent="0.45">
      <c r="A38" s="10">
        <v>43739</v>
      </c>
      <c r="B38" s="1">
        <v>37</v>
      </c>
      <c r="C38" s="1">
        <v>74</v>
      </c>
      <c r="D38" s="11">
        <f t="shared" si="1"/>
        <v>2738</v>
      </c>
      <c r="E38" s="11">
        <f t="shared" si="2"/>
        <v>1369</v>
      </c>
      <c r="F38" s="11">
        <f t="shared" si="0"/>
        <v>5476</v>
      </c>
      <c r="G38" s="11">
        <v>2019</v>
      </c>
    </row>
    <row r="39" spans="1:7" x14ac:dyDescent="0.45">
      <c r="A39" s="10">
        <v>43770</v>
      </c>
      <c r="B39" s="1">
        <v>38</v>
      </c>
      <c r="C39" s="1">
        <v>84</v>
      </c>
      <c r="D39" s="11">
        <f t="shared" si="1"/>
        <v>3192</v>
      </c>
      <c r="E39" s="11">
        <f t="shared" si="2"/>
        <v>1444</v>
      </c>
      <c r="F39" s="11">
        <f t="shared" si="0"/>
        <v>7056</v>
      </c>
      <c r="G39" s="11">
        <v>2019</v>
      </c>
    </row>
    <row r="40" spans="1:7" x14ac:dyDescent="0.45">
      <c r="A40" s="10">
        <v>43800</v>
      </c>
      <c r="B40" s="1">
        <v>39</v>
      </c>
      <c r="C40" s="1">
        <v>81</v>
      </c>
      <c r="D40" s="11">
        <f t="shared" si="1"/>
        <v>3159</v>
      </c>
      <c r="E40" s="11">
        <f t="shared" si="2"/>
        <v>1521</v>
      </c>
      <c r="F40" s="11">
        <f t="shared" si="0"/>
        <v>6561</v>
      </c>
      <c r="G40" s="11">
        <v>2019</v>
      </c>
    </row>
    <row r="41" spans="1:7" x14ac:dyDescent="0.45">
      <c r="A41" s="10">
        <v>43831</v>
      </c>
      <c r="B41" s="1">
        <v>40</v>
      </c>
      <c r="C41" s="1">
        <v>86</v>
      </c>
      <c r="D41" s="11">
        <f t="shared" si="1"/>
        <v>3440</v>
      </c>
      <c r="E41" s="11">
        <f t="shared" si="2"/>
        <v>1600</v>
      </c>
      <c r="F41" s="11">
        <f t="shared" si="0"/>
        <v>7396</v>
      </c>
      <c r="G41" s="11">
        <v>2020</v>
      </c>
    </row>
    <row r="42" spans="1:7" x14ac:dyDescent="0.45">
      <c r="A42" s="10">
        <v>43862</v>
      </c>
      <c r="B42" s="1">
        <v>41</v>
      </c>
      <c r="C42" s="1">
        <v>80</v>
      </c>
      <c r="D42" s="11">
        <f t="shared" si="1"/>
        <v>3280</v>
      </c>
      <c r="E42" s="11">
        <f t="shared" si="2"/>
        <v>1681</v>
      </c>
      <c r="F42" s="11">
        <f t="shared" si="0"/>
        <v>6400</v>
      </c>
      <c r="G42" s="11">
        <v>2020</v>
      </c>
    </row>
    <row r="43" spans="1:7" x14ac:dyDescent="0.45">
      <c r="A43" s="10">
        <v>43891</v>
      </c>
      <c r="B43" s="1">
        <v>42</v>
      </c>
      <c r="C43" s="1">
        <v>87</v>
      </c>
      <c r="D43" s="11">
        <f t="shared" si="1"/>
        <v>3654</v>
      </c>
      <c r="E43" s="11">
        <f t="shared" si="2"/>
        <v>1764</v>
      </c>
      <c r="F43" s="11">
        <f t="shared" si="0"/>
        <v>7569</v>
      </c>
      <c r="G43" s="11">
        <v>2020</v>
      </c>
    </row>
    <row r="44" spans="1:7" x14ac:dyDescent="0.45">
      <c r="A44" s="10">
        <v>43922</v>
      </c>
      <c r="B44" s="1">
        <v>43</v>
      </c>
      <c r="C44" s="1">
        <v>77</v>
      </c>
      <c r="D44" s="11">
        <f t="shared" si="1"/>
        <v>3311</v>
      </c>
      <c r="E44" s="11">
        <f t="shared" si="2"/>
        <v>1849</v>
      </c>
      <c r="F44" s="11">
        <f t="shared" si="0"/>
        <v>5929</v>
      </c>
      <c r="G44" s="11">
        <v>2020</v>
      </c>
    </row>
    <row r="45" spans="1:7" x14ac:dyDescent="0.45">
      <c r="A45" s="10">
        <v>43952</v>
      </c>
      <c r="B45" s="1">
        <v>44</v>
      </c>
      <c r="C45" s="1">
        <v>88</v>
      </c>
      <c r="D45" s="11">
        <f t="shared" si="1"/>
        <v>3872</v>
      </c>
      <c r="E45" s="11">
        <f t="shared" si="2"/>
        <v>1936</v>
      </c>
      <c r="F45" s="11">
        <f t="shared" si="0"/>
        <v>7744</v>
      </c>
      <c r="G45" s="11">
        <v>2020</v>
      </c>
    </row>
    <row r="46" spans="1:7" x14ac:dyDescent="0.45">
      <c r="A46" s="10">
        <v>43983</v>
      </c>
      <c r="B46" s="1">
        <v>45</v>
      </c>
      <c r="C46" s="1">
        <v>71</v>
      </c>
      <c r="D46" s="11">
        <f t="shared" si="1"/>
        <v>3195</v>
      </c>
      <c r="E46" s="11">
        <f t="shared" si="2"/>
        <v>2025</v>
      </c>
      <c r="F46" s="11">
        <f t="shared" si="0"/>
        <v>5041</v>
      </c>
      <c r="G46" s="11">
        <v>2020</v>
      </c>
    </row>
    <row r="47" spans="1:7" x14ac:dyDescent="0.45">
      <c r="A47" s="10">
        <v>44013</v>
      </c>
      <c r="B47" s="1">
        <v>46</v>
      </c>
      <c r="C47" s="1">
        <v>86</v>
      </c>
      <c r="D47" s="11">
        <f t="shared" si="1"/>
        <v>3956</v>
      </c>
      <c r="E47" s="11">
        <f t="shared" si="2"/>
        <v>2116</v>
      </c>
      <c r="F47" s="11">
        <f t="shared" si="0"/>
        <v>7396</v>
      </c>
      <c r="G47" s="11">
        <v>2020</v>
      </c>
    </row>
    <row r="48" spans="1:7" x14ac:dyDescent="0.45">
      <c r="A48" s="10">
        <v>44044</v>
      </c>
      <c r="B48" s="1">
        <v>47</v>
      </c>
      <c r="C48" s="1">
        <v>83</v>
      </c>
      <c r="D48" s="11">
        <f t="shared" si="1"/>
        <v>3901</v>
      </c>
      <c r="E48" s="11">
        <f t="shared" si="2"/>
        <v>2209</v>
      </c>
      <c r="F48" s="11">
        <f t="shared" si="0"/>
        <v>6889</v>
      </c>
      <c r="G48" s="11">
        <v>2020</v>
      </c>
    </row>
    <row r="49" spans="1:7" x14ac:dyDescent="0.45">
      <c r="A49" s="10">
        <v>44075</v>
      </c>
      <c r="B49" s="1">
        <v>48</v>
      </c>
      <c r="C49" s="1">
        <v>82</v>
      </c>
      <c r="D49" s="11">
        <f t="shared" si="1"/>
        <v>3936</v>
      </c>
      <c r="E49" s="11">
        <f t="shared" si="2"/>
        <v>2304</v>
      </c>
      <c r="F49" s="11">
        <f t="shared" si="0"/>
        <v>6724</v>
      </c>
      <c r="G49" s="11">
        <v>2020</v>
      </c>
    </row>
    <row r="50" spans="1:7" x14ac:dyDescent="0.45">
      <c r="A50" s="10">
        <v>44105</v>
      </c>
      <c r="B50" s="1">
        <v>49</v>
      </c>
      <c r="C50" s="1">
        <v>76</v>
      </c>
      <c r="D50" s="11">
        <f t="shared" si="1"/>
        <v>3724</v>
      </c>
      <c r="E50" s="11">
        <f t="shared" si="2"/>
        <v>2401</v>
      </c>
      <c r="F50" s="11">
        <f t="shared" si="0"/>
        <v>5776</v>
      </c>
      <c r="G50" s="11">
        <v>2020</v>
      </c>
    </row>
    <row r="51" spans="1:7" x14ac:dyDescent="0.45">
      <c r="A51" s="12">
        <v>44136</v>
      </c>
      <c r="B51" s="13">
        <v>50</v>
      </c>
      <c r="C51" s="13">
        <v>80</v>
      </c>
      <c r="D51" s="13">
        <f t="shared" si="1"/>
        <v>4000</v>
      </c>
      <c r="E51" s="13">
        <f t="shared" si="2"/>
        <v>2500</v>
      </c>
      <c r="F51" s="13">
        <f t="shared" si="0"/>
        <v>6400</v>
      </c>
      <c r="G51" s="13">
        <v>2020</v>
      </c>
    </row>
    <row r="52" spans="1:7" x14ac:dyDescent="0.45">
      <c r="A52" s="15" t="s">
        <v>21</v>
      </c>
      <c r="B52" s="1">
        <f>SUM(B2:B51)</f>
        <v>1275</v>
      </c>
      <c r="C52" s="1">
        <f>SUM(C2:C51)</f>
        <v>4000</v>
      </c>
      <c r="D52" s="1">
        <f>SUM(D2:D51)</f>
        <v>102060</v>
      </c>
      <c r="E52" s="1">
        <f>SUM(E2:E51)</f>
        <v>42925</v>
      </c>
      <c r="F52" s="1">
        <f>SUM(F2:F51)</f>
        <v>321464</v>
      </c>
      <c r="G52" s="1"/>
    </row>
  </sheetData>
  <mergeCells count="9">
    <mergeCell ref="I17:J17"/>
    <mergeCell ref="J11:J12"/>
    <mergeCell ref="L11:L12"/>
    <mergeCell ref="N11:N12"/>
    <mergeCell ref="O11:O12"/>
    <mergeCell ref="J14:J15"/>
    <mergeCell ref="L14:L15"/>
    <mergeCell ref="N14:N15"/>
    <mergeCell ref="O14:O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6E3C-C130-4712-80E4-0C20F0AAB10D}">
  <dimension ref="A1:B9"/>
  <sheetViews>
    <sheetView workbookViewId="0">
      <selection activeCell="L12" sqref="L12"/>
    </sheetView>
  </sheetViews>
  <sheetFormatPr defaultRowHeight="14.25" x14ac:dyDescent="0.45"/>
  <cols>
    <col min="1" max="1" width="12.06640625" bestFit="1" customWidth="1"/>
    <col min="2" max="2" width="27.86328125" bestFit="1" customWidth="1"/>
  </cols>
  <sheetData>
    <row r="1" spans="1:2" x14ac:dyDescent="0.45">
      <c r="A1" s="35" t="s">
        <v>25</v>
      </c>
      <c r="B1" s="35"/>
    </row>
    <row r="3" spans="1:2" x14ac:dyDescent="0.45">
      <c r="A3" t="s">
        <v>22</v>
      </c>
      <c r="B3" t="s">
        <v>23</v>
      </c>
    </row>
    <row r="4" spans="1:2" x14ac:dyDescent="0.45">
      <c r="A4" s="23">
        <v>2016</v>
      </c>
      <c r="B4" s="24">
        <v>239</v>
      </c>
    </row>
    <row r="5" spans="1:2" x14ac:dyDescent="0.45">
      <c r="A5" s="22">
        <v>2017</v>
      </c>
      <c r="B5">
        <v>950</v>
      </c>
    </row>
    <row r="6" spans="1:2" x14ac:dyDescent="0.45">
      <c r="A6" s="25">
        <v>2018</v>
      </c>
      <c r="B6" s="26">
        <v>969</v>
      </c>
    </row>
    <row r="7" spans="1:2" x14ac:dyDescent="0.45">
      <c r="A7" s="22">
        <v>2019</v>
      </c>
      <c r="B7">
        <v>946</v>
      </c>
    </row>
    <row r="8" spans="1:2" x14ac:dyDescent="0.45">
      <c r="A8" s="22">
        <v>2020</v>
      </c>
      <c r="B8">
        <v>896</v>
      </c>
    </row>
    <row r="9" spans="1:2" x14ac:dyDescent="0.45">
      <c r="A9" s="22" t="s">
        <v>24</v>
      </c>
      <c r="B9">
        <v>4000</v>
      </c>
    </row>
  </sheetData>
  <mergeCells count="1">
    <mergeCell ref="A1:B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1-2</vt:lpstr>
      <vt:lpstr>3</vt:lpstr>
      <vt:lpstr>4</vt:lpstr>
      <vt:lpstr>Sheet2</vt:lpstr>
      <vt:lpstr>Sheet1</vt:lpstr>
      <vt:lpstr>Hasil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OFFICIAL</dc:creator>
  <cp:lastModifiedBy>Nia Surniati</cp:lastModifiedBy>
  <cp:lastPrinted>2025-04-16T13:04:02Z</cp:lastPrinted>
  <dcterms:created xsi:type="dcterms:W3CDTF">2025-04-14T15:16:10Z</dcterms:created>
  <dcterms:modified xsi:type="dcterms:W3CDTF">2025-04-29T04:51:54Z</dcterms:modified>
</cp:coreProperties>
</file>